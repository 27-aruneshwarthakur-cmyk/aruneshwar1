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b238e27ef67adf87/Desktop/"/>
    </mc:Choice>
  </mc:AlternateContent>
  <xr:revisionPtr revIDLastSave="0" documentId="8_{686B84E7-2D2C-443F-9522-7329042E0EFD}" xr6:coauthVersionLast="47" xr6:coauthVersionMax="47" xr10:uidLastSave="{00000000-0000-0000-0000-000000000000}"/>
  <bookViews>
    <workbookView minimized="1" xWindow="0" yWindow="312" windowWidth="13080" windowHeight="11808" firstSheet="1" activeTab="3" xr2:uid="{00000000-000D-0000-FFFF-FFFF00000000}"/>
  </bookViews>
  <sheets>
    <sheet name="QP_Dashboard" sheetId="1" r:id="rId1"/>
    <sheet name="Q1." sheetId="3" r:id="rId2"/>
    <sheet name="Q2" sheetId="4" r:id="rId3"/>
    <sheet name="Q3" sheetId="7" r:id="rId4"/>
    <sheet name="Q4" sheetId="10" r:id="rId5"/>
    <sheet name="Source&gt;&gt;IS" sheetId="14" r:id="rId6"/>
    <sheet name="Source&gt;&gt;BS" sheetId="15" r:id="rId7"/>
    <sheet name="Source&gt;&gt;CFS" sheetId="16"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7" l="1"/>
  <c r="E9" i="7"/>
  <c r="E7" i="7"/>
  <c r="E4" i="7"/>
  <c r="M24" i="7"/>
  <c r="M23" i="7"/>
  <c r="M9" i="7"/>
  <c r="M8" i="7"/>
  <c r="M7" i="7"/>
  <c r="M6" i="7"/>
  <c r="H5" i="7"/>
  <c r="H13" i="7"/>
  <c r="H12" i="7"/>
  <c r="H14" i="7"/>
  <c r="J6" i="7"/>
  <c r="J10" i="7"/>
  <c r="J9" i="7"/>
  <c r="J19" i="7" l="1"/>
  <c r="M28" i="7"/>
  <c r="M26" i="7"/>
  <c r="M20" i="7"/>
  <c r="M11" i="7"/>
  <c r="M29" i="7" s="1"/>
  <c r="M30" i="7" s="1"/>
  <c r="E6" i="7"/>
  <c r="E8" i="7" s="1"/>
  <c r="E12" i="7" s="1"/>
  <c r="E14" i="7" s="1"/>
  <c r="E16" i="7" s="1"/>
  <c r="H6" i="7" s="1"/>
  <c r="H7" i="7" s="1"/>
  <c r="H19" i="7" s="1"/>
  <c r="I21" i="7" l="1"/>
  <c r="D29" i="1"/>
</calcChain>
</file>

<file path=xl/sharedStrings.xml><?xml version="1.0" encoding="utf-8"?>
<sst xmlns="http://schemas.openxmlformats.org/spreadsheetml/2006/main" count="241" uniqueCount="212">
  <si>
    <t>Subject</t>
  </si>
  <si>
    <t>Name</t>
  </si>
  <si>
    <t>Roll No.</t>
  </si>
  <si>
    <t>Instructions:</t>
  </si>
  <si>
    <t>Section-1</t>
  </si>
  <si>
    <t>Total Marks 12</t>
  </si>
  <si>
    <t>Q1</t>
  </si>
  <si>
    <t>4 Marks</t>
  </si>
  <si>
    <t>Q2</t>
  </si>
  <si>
    <t>Section-2</t>
  </si>
  <si>
    <t>Q5</t>
  </si>
  <si>
    <t>Section-3</t>
  </si>
  <si>
    <t>Other Income</t>
  </si>
  <si>
    <t>Inventories</t>
  </si>
  <si>
    <t>Total Assets</t>
  </si>
  <si>
    <t>Total Marks Obtained</t>
  </si>
  <si>
    <t>Deferred Tax</t>
  </si>
  <si>
    <t>Total Current Liabilities</t>
  </si>
  <si>
    <t>Total Current Assets</t>
  </si>
  <si>
    <t>Total Shareholders Funds</t>
  </si>
  <si>
    <t>Comments</t>
  </si>
  <si>
    <t>12 mths</t>
  </si>
  <si>
    <t>INCOME</t>
  </si>
  <si>
    <t>Revenue From Operations [Gross]</t>
  </si>
  <si>
    <t>Revenue From Operations [Net]</t>
  </si>
  <si>
    <t>Total Operating Revenues</t>
  </si>
  <si>
    <t>Total Revenue</t>
  </si>
  <si>
    <t>EXPENSES</t>
  </si>
  <si>
    <t>Purchase Of Stock-In Trade</t>
  </si>
  <si>
    <t>Operating And Direct Expenses</t>
  </si>
  <si>
    <t>Employee Benefit Expenses</t>
  </si>
  <si>
    <t>Finance Costs</t>
  </si>
  <si>
    <t>Depreciation And Amortisation Expenses</t>
  </si>
  <si>
    <t>Other Expenses</t>
  </si>
  <si>
    <t>Total Expenses</t>
  </si>
  <si>
    <t>Profit/Loss Before Exceptional, ExtraOrdinary Items And Tax</t>
  </si>
  <si>
    <t>Profit/Loss Before Tax</t>
  </si>
  <si>
    <t>Tax Expenses-Continued Operations</t>
  </si>
  <si>
    <t>Current Tax</t>
  </si>
  <si>
    <t>Total Tax Expenses</t>
  </si>
  <si>
    <t>Profit/Loss After Tax And Before ExtraOrdinary Items</t>
  </si>
  <si>
    <t>Profit/Loss From Continuing Operations</t>
  </si>
  <si>
    <t>Profit/Loss For The Period</t>
  </si>
  <si>
    <t>Minority Interest</t>
  </si>
  <si>
    <t>EQUITIES AND LIABILITIES</t>
  </si>
  <si>
    <t>SHAREHOLDER'S FUNDS</t>
  </si>
  <si>
    <t>Equity Share Capital</t>
  </si>
  <si>
    <t>Total Share Capital</t>
  </si>
  <si>
    <t>Reserves and Surplus</t>
  </si>
  <si>
    <t>Total Reserves and Surplus</t>
  </si>
  <si>
    <t>NON-CURRENT LIABILITIES</t>
  </si>
  <si>
    <t>Long Term Borrowings</t>
  </si>
  <si>
    <t>Deferred Tax Liabilities [Net]</t>
  </si>
  <si>
    <t>Other Long Term Liabilities</t>
  </si>
  <si>
    <t>Long Term Provisions</t>
  </si>
  <si>
    <t>Total Non-Current Liabilities</t>
  </si>
  <si>
    <t>CURRENT LIABILITIES</t>
  </si>
  <si>
    <t>Short Term Borrowings</t>
  </si>
  <si>
    <t>Trade Payables</t>
  </si>
  <si>
    <t>Other Current Liabilities</t>
  </si>
  <si>
    <t>Short Term Provisions</t>
  </si>
  <si>
    <t>Total Capital And Liabilities</t>
  </si>
  <si>
    <t>ASSETS</t>
  </si>
  <si>
    <t>NON-CURRENT ASSETS</t>
  </si>
  <si>
    <t>Tangible Assets</t>
  </si>
  <si>
    <t>Intangible Assets</t>
  </si>
  <si>
    <t>Capital Work-In-Progress</t>
  </si>
  <si>
    <t>Fixed Assets</t>
  </si>
  <si>
    <t>Non-Current Investments</t>
  </si>
  <si>
    <t>Long Term Loans And Advances</t>
  </si>
  <si>
    <t>Other Non-Current Assets</t>
  </si>
  <si>
    <t>Total Non-Current Assets</t>
  </si>
  <si>
    <t>CURRENT ASSETS</t>
  </si>
  <si>
    <t>Trade Receivables</t>
  </si>
  <si>
    <t>Cash And Cash Equivalents</t>
  </si>
  <si>
    <t>Short Term Loans And Advances</t>
  </si>
  <si>
    <t>OtherCurrentAssets</t>
  </si>
  <si>
    <t>Deferred Tax Assets [Net]</t>
  </si>
  <si>
    <t>Current Investments</t>
  </si>
  <si>
    <t>Net CashFlow From Operating Activities</t>
  </si>
  <si>
    <t>Net Cash Used In Investing Activities</t>
  </si>
  <si>
    <t>Net Cash Used From Financing Activities</t>
  </si>
  <si>
    <t>S.No.</t>
  </si>
  <si>
    <t>Transactions</t>
  </si>
  <si>
    <t>Total Marks 8</t>
  </si>
  <si>
    <t>Total Marks 20</t>
  </si>
  <si>
    <t>Financial Reporting and Analysis (FRA)</t>
  </si>
  <si>
    <t>PGDM</t>
  </si>
  <si>
    <t>1.     Please write your roll number on the question paper.</t>
  </si>
  <si>
    <t>3.     Use Spreadsheet to attempt the Questions</t>
  </si>
  <si>
    <t xml:space="preserve">4. Data to attempt questions are provided in Data Tabs </t>
  </si>
  <si>
    <t>5.     Provide all information in info tab of excel and save the file with yours Roll No. and Name</t>
  </si>
  <si>
    <t>6. No Screen shots are allowed</t>
  </si>
  <si>
    <t>7. Opening of any other sheet during examination hours will lead to unfair means</t>
  </si>
  <si>
    <t>Term-1</t>
  </si>
  <si>
    <r>
      <t xml:space="preserve">2.     All questions are </t>
    </r>
    <r>
      <rPr>
        <b/>
        <i/>
        <sz val="12"/>
        <color theme="1"/>
        <rFont val="Times New Roman"/>
        <family val="1"/>
      </rPr>
      <t>compulsory</t>
    </r>
    <r>
      <rPr>
        <i/>
        <sz val="12"/>
        <color theme="1"/>
        <rFont val="Times New Roman"/>
        <family val="1"/>
      </rPr>
      <t>.</t>
    </r>
  </si>
  <si>
    <t>Q3</t>
  </si>
  <si>
    <t>Q3. Link all these transactions in Income Statement, Balance Sheet and Cash Flow Statement</t>
  </si>
  <si>
    <t>(Marks= 4+4+4=12)</t>
  </si>
  <si>
    <t>20 Marks</t>
  </si>
  <si>
    <t>12 Marks</t>
  </si>
  <si>
    <t>Started business with cash ₹5,00,000</t>
  </si>
  <si>
    <t>Sold goods (cost ₹1,20,000) for ₹2,00,000 on credit</t>
  </si>
  <si>
    <t>Collected ₹1,50,000 from debtors</t>
  </si>
  <si>
    <t>Paid ₹1,00,000 to creditors</t>
  </si>
  <si>
    <t>Salaries ₹40,000 (₹30,000 paid, ₹10,000 outstanding)</t>
  </si>
  <si>
    <t>Rent ₹12,000 due but unpaid</t>
  </si>
  <si>
    <t>Insurance ₹24,000 paid (₹22,000 prepaid)</t>
  </si>
  <si>
    <t>Purchased goods ₹2,00,000 on credit</t>
  </si>
  <si>
    <t>Interest income ₹5,000 accrued (not received)</t>
  </si>
  <si>
    <t>Profit &amp; Loss account of Adani Power (in Rs. Cr.)</t>
  </si>
  <si>
    <t>Changes In Inventories Of FGWIP And Stock In Trade</t>
  </si>
  <si>
    <t>Other Direct Taxes</t>
  </si>
  <si>
    <t>Balance Sheet of Adani Power (in Rs. Cr.)</t>
  </si>
  <si>
    <t>Cash Flow of Adani Power (in Rs. Cr.)</t>
  </si>
  <si>
    <t>Net Profit/Loss Before Extraordinary Items And Tax</t>
  </si>
  <si>
    <t>Withdraw Rs 10,000 in cash for personal use</t>
  </si>
  <si>
    <t>Fortune Institute of International Business, New Delhi</t>
  </si>
  <si>
    <t>Post Graduate Diploma in Management</t>
  </si>
  <si>
    <t xml:space="preserve">               Course:  Financial Reporting and Analysis  </t>
  </si>
  <si>
    <t xml:space="preserve"> Batch: PGDM 2025-2027  Term:  I</t>
  </si>
  <si>
    <t>End Term  Examination (September 2025)</t>
  </si>
  <si>
    <t>INCOME STATEMENT</t>
  </si>
  <si>
    <t>REVENUE FROM OPERATIONS</t>
  </si>
  <si>
    <t>OTHER NCOME</t>
  </si>
  <si>
    <t xml:space="preserve">TOTAL INCOME </t>
  </si>
  <si>
    <t>COGS</t>
  </si>
  <si>
    <t>GP</t>
  </si>
  <si>
    <t>SGA</t>
  </si>
  <si>
    <t>EBIDTA</t>
  </si>
  <si>
    <t>DA</t>
  </si>
  <si>
    <t>EBIT</t>
  </si>
  <si>
    <t>INT</t>
  </si>
  <si>
    <t>EBT</t>
  </si>
  <si>
    <t>TAX</t>
  </si>
  <si>
    <t>PAT</t>
  </si>
  <si>
    <t>BALANCE SEET</t>
  </si>
  <si>
    <t>LIABILITY</t>
  </si>
  <si>
    <t>AMOUNT</t>
  </si>
  <si>
    <t>ASSET</t>
  </si>
  <si>
    <t>CAPITAL</t>
  </si>
  <si>
    <t>CA</t>
  </si>
  <si>
    <t>P/L</t>
  </si>
  <si>
    <t>CASH</t>
  </si>
  <si>
    <t>TOTAL EQUITY</t>
  </si>
  <si>
    <t>BANK</t>
  </si>
  <si>
    <t>INVENTORY</t>
  </si>
  <si>
    <t>LL</t>
  </si>
  <si>
    <t>NCA</t>
  </si>
  <si>
    <t>OUT SALARIES</t>
  </si>
  <si>
    <t>OUT RENT</t>
  </si>
  <si>
    <t>CL</t>
  </si>
  <si>
    <t>TOTAL</t>
  </si>
  <si>
    <t>CASH FLOW STATEMENT</t>
  </si>
  <si>
    <t>CFO</t>
  </si>
  <si>
    <t>CFI</t>
  </si>
  <si>
    <t>CFF</t>
  </si>
  <si>
    <t>OPENING BALANCE</t>
  </si>
  <si>
    <t>NET BALANCE</t>
  </si>
  <si>
    <t>CLOSING BALANCE</t>
  </si>
  <si>
    <t>CHECK</t>
  </si>
  <si>
    <t>Going Concern Principle</t>
  </si>
  <si>
    <t>Conservatism (Prudence) Principle</t>
  </si>
  <si>
    <t>Accrual (Matching) Principle</t>
  </si>
  <si>
    <t>Matching Principle (Depreciation)</t>
  </si>
  <si>
    <t>PART B.</t>
  </si>
  <si>
    <t xml:space="preserve"> PART A.</t>
  </si>
  <si>
    <t>Year</t>
  </si>
  <si>
    <t>Selling Price (per aircraft)</t>
  </si>
  <si>
    <t>Actual Cost (IFRS)</t>
  </si>
  <si>
    <t>Profit (IFRS)</t>
  </si>
  <si>
    <t>Program Cost (US GAAP)</t>
  </si>
  <si>
    <t>Profit (US GAAP)</t>
  </si>
  <si>
    <t>DPC (US GAAP)</t>
  </si>
  <si>
    <t>Total</t>
  </si>
  <si>
    <t>Method</t>
  </si>
  <si>
    <t>Total Profit (3 yrs)</t>
  </si>
  <si>
    <t>Cumulative DPC</t>
  </si>
  <si>
    <t>IFRS (Unit Cost)</t>
  </si>
  <si>
    <t>US GAAP (Program)</t>
  </si>
  <si>
    <t>SUMMARY</t>
  </si>
  <si>
    <t>PROFIT COMPARISON</t>
  </si>
  <si>
    <t>Transaction</t>
  </si>
  <si>
    <t>Affect Cash Flow?</t>
  </si>
  <si>
    <t>1. Purchase of machinery in cash ₹80,000</t>
  </si>
  <si>
    <t>Yes</t>
  </si>
  <si>
    <t>Investing</t>
  </si>
  <si>
    <t>2. Issue of equity shares for cash ₹2,00,000</t>
  </si>
  <si>
    <t>Financing</t>
  </si>
  <si>
    <t>3. Depreciation charged on plant ₹15,000</t>
  </si>
  <si>
    <t>No</t>
  </si>
  <si>
    <t>4. Payment of salaries ₹50,000</t>
  </si>
  <si>
    <t>Operating</t>
  </si>
  <si>
    <t>5. Receipt of interest income ₹10,000</t>
  </si>
  <si>
    <t>6. Transfer of profit to General Reserve ₹20,000</t>
  </si>
  <si>
    <t>7. Repayment of bank loan ₹1,00,000</t>
  </si>
  <si>
    <t>8. Goods purchased on credit ₹30,000</t>
  </si>
  <si>
    <t xml:space="preserve">No </t>
  </si>
  <si>
    <t>Day to day business expense,cash outflow</t>
  </si>
  <si>
    <t>Cash outflow for reducing liability</t>
  </si>
  <si>
    <t>ACTIVITY</t>
  </si>
  <si>
    <t>EXPLANATIONS</t>
  </si>
  <si>
    <t xml:space="preserve">Operating </t>
  </si>
  <si>
    <t>DEBTORS</t>
  </si>
  <si>
    <t>PRE INSURANCE</t>
  </si>
  <si>
    <t>CREDITOR</t>
  </si>
  <si>
    <t>CAPITAL/EQUITY</t>
  </si>
  <si>
    <t>COLLECT DEBT</t>
  </si>
  <si>
    <t>CREDITORS PAID</t>
  </si>
  <si>
    <t>SALARIS</t>
  </si>
  <si>
    <t>INSURANCE</t>
  </si>
  <si>
    <t>DRAWING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</si>
</sst>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rial"/>
    </font>
    <font>
      <sz val="11"/>
      <color theme="1"/>
      <name val="Calibri"/>
      <family val="2"/>
      <scheme val="minor"/>
    </font>
    <font>
      <sz val="11"/>
      <color theme="1"/>
      <name val="Calibri"/>
      <family val="2"/>
      <scheme val="minor"/>
    </font>
    <font>
      <b/>
      <sz val="11"/>
      <color theme="1"/>
      <name val="Calibri"/>
      <family val="2"/>
    </font>
    <font>
      <b/>
      <sz val="11"/>
      <color theme="1"/>
      <name val="Arial"/>
      <family val="2"/>
    </font>
    <font>
      <sz val="12"/>
      <color theme="1"/>
      <name val="Times New Roman"/>
      <family val="1"/>
    </font>
    <font>
      <b/>
      <sz val="12"/>
      <color theme="1"/>
      <name val="Times New Roman"/>
      <family val="1"/>
    </font>
    <font>
      <b/>
      <sz val="12"/>
      <color theme="0"/>
      <name val="Times New Roman"/>
      <family val="1"/>
    </font>
    <font>
      <i/>
      <sz val="12"/>
      <color theme="1"/>
      <name val="Times New Roman"/>
      <family val="1"/>
    </font>
    <font>
      <b/>
      <i/>
      <sz val="12"/>
      <color theme="1"/>
      <name val="Times New Roman"/>
      <family val="1"/>
    </font>
    <font>
      <b/>
      <sz val="12"/>
      <name val="Times New Roman"/>
      <family val="1"/>
    </font>
    <font>
      <sz val="12"/>
      <name val="Times New Roman"/>
      <family val="1"/>
    </font>
    <font>
      <sz val="11"/>
      <color theme="1"/>
      <name val="Arial"/>
      <family val="2"/>
    </font>
    <font>
      <b/>
      <sz val="11"/>
      <color theme="1"/>
      <name val="Calibri"/>
      <family val="2"/>
      <scheme val="minor"/>
    </font>
    <font>
      <b/>
      <sz val="10"/>
      <color rgb="FF333333"/>
      <name val="Arial"/>
      <family val="2"/>
    </font>
    <font>
      <b/>
      <sz val="14"/>
      <color theme="1"/>
      <name val="Calibri"/>
      <family val="2"/>
      <scheme val="minor"/>
    </font>
    <font>
      <sz val="10"/>
      <color rgb="FF333333"/>
      <name val="Arial"/>
      <family val="2"/>
    </font>
    <font>
      <b/>
      <sz val="12"/>
      <color theme="1"/>
      <name val="Calibri"/>
      <family val="2"/>
      <scheme val="minor"/>
    </font>
    <font>
      <b/>
      <sz val="8"/>
      <color theme="1"/>
      <name val="Calibri"/>
      <family val="2"/>
      <scheme val="minor"/>
    </font>
    <font>
      <b/>
      <sz val="11"/>
      <color theme="0"/>
      <name val="Calibri"/>
      <family val="2"/>
      <scheme val="minor"/>
    </font>
    <font>
      <sz val="11"/>
      <color theme="0"/>
      <name val="Arial"/>
      <family val="2"/>
    </font>
    <font>
      <b/>
      <sz val="11"/>
      <color theme="0"/>
      <name val="Arial"/>
      <family val="2"/>
    </font>
    <font>
      <b/>
      <sz val="11"/>
      <name val="Calibri"/>
      <family val="2"/>
    </font>
  </fonts>
  <fills count="18">
    <fill>
      <patternFill patternType="none"/>
    </fill>
    <fill>
      <patternFill patternType="gray125"/>
    </fill>
    <fill>
      <patternFill patternType="solid">
        <fgColor rgb="FFFFC000"/>
        <bgColor rgb="FFFFC000"/>
      </patternFill>
    </fill>
    <fill>
      <patternFill patternType="solid">
        <fgColor theme="0"/>
        <bgColor theme="0"/>
      </patternFill>
    </fill>
    <fill>
      <patternFill patternType="solid">
        <fgColor rgb="FFA5A5A5"/>
        <bgColor rgb="FFA5A5A5"/>
      </patternFill>
    </fill>
    <fill>
      <patternFill patternType="solid">
        <fgColor rgb="FFD8D8D8"/>
        <bgColor rgb="FFD8D8D8"/>
      </patternFill>
    </fill>
    <fill>
      <patternFill patternType="solid">
        <fgColor theme="0" tint="-0.14999847407452621"/>
        <bgColor theme="0"/>
      </patternFill>
    </fill>
    <fill>
      <patternFill patternType="solid">
        <fgColor theme="0"/>
        <bgColor indexed="64"/>
      </patternFill>
    </fill>
    <fill>
      <patternFill patternType="solid">
        <fgColor rgb="FFFF0000"/>
        <bgColor indexed="64"/>
      </patternFill>
    </fill>
    <fill>
      <patternFill patternType="solid">
        <fgColor theme="0" tint="-0.14999847407452621"/>
        <bgColor rgb="FFD8D8D8"/>
      </patternFill>
    </fill>
    <fill>
      <patternFill patternType="solid">
        <fgColor rgb="FFFFC000"/>
        <bgColor indexed="64"/>
      </patternFill>
    </fill>
    <fill>
      <patternFill patternType="solid">
        <fgColor rgb="FFFFFFFF"/>
        <bgColor indexed="64"/>
      </patternFill>
    </fill>
    <fill>
      <patternFill patternType="solid">
        <fgColor rgb="FFF6F8FB"/>
        <bgColor indexed="64"/>
      </patternFill>
    </fill>
    <fill>
      <patternFill patternType="solid">
        <fgColor rgb="FFDEE4E6"/>
        <bgColor indexed="64"/>
      </patternFill>
    </fill>
    <fill>
      <patternFill patternType="solid">
        <fgColor theme="4"/>
        <bgColor indexed="64"/>
      </patternFill>
    </fill>
    <fill>
      <patternFill patternType="solid">
        <fgColor rgb="FFFFFF00"/>
        <bgColor indexed="64"/>
      </patternFill>
    </fill>
    <fill>
      <patternFill patternType="solid">
        <fgColor theme="9" tint="0.39997558519241921"/>
        <bgColor indexed="64"/>
      </patternFill>
    </fill>
    <fill>
      <patternFill patternType="solid">
        <fgColor theme="0" tint="-0.499984740745262"/>
        <bgColor indexed="64"/>
      </patternFill>
    </fill>
  </fills>
  <borders count="4">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2" fillId="0" borderId="1"/>
    <xf numFmtId="9" fontId="12" fillId="0" borderId="0" applyFont="0" applyFill="0" applyBorder="0" applyAlignment="0" applyProtection="0"/>
    <xf numFmtId="0" fontId="1" fillId="0" borderId="1"/>
  </cellStyleXfs>
  <cellXfs count="65">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5" fillId="10" borderId="0" xfId="0" applyFont="1" applyFill="1"/>
    <xf numFmtId="0" fontId="6" fillId="2" borderId="1" xfId="0" applyFont="1" applyFill="1" applyBorder="1"/>
    <xf numFmtId="0" fontId="5" fillId="3" borderId="1" xfId="0" applyFont="1" applyFill="1" applyBorder="1"/>
    <xf numFmtId="0" fontId="7" fillId="4" borderId="1" xfId="0" applyFont="1" applyFill="1" applyBorder="1"/>
    <xf numFmtId="0" fontId="7" fillId="4" borderId="1" xfId="0" applyFont="1" applyFill="1" applyBorder="1" applyAlignment="1">
      <alignment horizontal="left" vertical="center"/>
    </xf>
    <xf numFmtId="0" fontId="8" fillId="9" borderId="1" xfId="0" applyFont="1" applyFill="1" applyBorder="1" applyAlignment="1">
      <alignment vertical="center"/>
    </xf>
    <xf numFmtId="0" fontId="8" fillId="9" borderId="1" xfId="0" applyFont="1" applyFill="1" applyBorder="1"/>
    <xf numFmtId="0" fontId="8" fillId="9" borderId="1" xfId="0" applyFont="1" applyFill="1" applyBorder="1" applyAlignment="1">
      <alignment vertical="top"/>
    </xf>
    <xf numFmtId="0" fontId="5" fillId="6" borderId="1" xfId="0" applyFont="1" applyFill="1" applyBorder="1"/>
    <xf numFmtId="0" fontId="10" fillId="5" borderId="1" xfId="0" applyFont="1" applyFill="1" applyBorder="1"/>
    <xf numFmtId="0" fontId="10" fillId="6" borderId="1" xfId="0" applyFont="1" applyFill="1" applyBorder="1"/>
    <xf numFmtId="0" fontId="11" fillId="8" borderId="1" xfId="0" applyFont="1" applyFill="1" applyBorder="1"/>
    <xf numFmtId="0" fontId="5" fillId="5" borderId="1" xfId="0" applyFont="1" applyFill="1" applyBorder="1"/>
    <xf numFmtId="0" fontId="5" fillId="7" borderId="1" xfId="0" applyFont="1" applyFill="1" applyBorder="1" applyAlignment="1">
      <alignment wrapText="1"/>
    </xf>
    <xf numFmtId="0" fontId="5" fillId="7" borderId="1" xfId="0" applyFont="1" applyFill="1" applyBorder="1"/>
    <xf numFmtId="0" fontId="11" fillId="6" borderId="1" xfId="0" applyFont="1" applyFill="1" applyBorder="1"/>
    <xf numFmtId="0" fontId="11" fillId="7" borderId="1" xfId="0" applyFont="1" applyFill="1" applyBorder="1"/>
    <xf numFmtId="0" fontId="5" fillId="2" borderId="1" xfId="0" applyFont="1" applyFill="1" applyBorder="1"/>
    <xf numFmtId="0" fontId="6" fillId="0" borderId="0" xfId="0" applyFont="1" applyAlignment="1">
      <alignment horizontal="center"/>
    </xf>
    <xf numFmtId="0" fontId="5" fillId="0" borderId="0" xfId="0" applyFont="1" applyAlignment="1">
      <alignment horizontal="center"/>
    </xf>
    <xf numFmtId="0" fontId="0" fillId="0" borderId="0" xfId="0" applyAlignment="1">
      <alignment horizontal="center"/>
    </xf>
    <xf numFmtId="0" fontId="5" fillId="0" borderId="0" xfId="0" applyFont="1" applyAlignment="1">
      <alignment vertical="center" wrapText="1"/>
    </xf>
    <xf numFmtId="0" fontId="14" fillId="14" borderId="2" xfId="0" applyFont="1" applyFill="1" applyBorder="1" applyAlignment="1">
      <alignment horizontal="left" vertical="top" wrapText="1"/>
    </xf>
    <xf numFmtId="17" fontId="14" fillId="14" borderId="2" xfId="0" applyNumberFormat="1" applyFont="1" applyFill="1" applyBorder="1" applyAlignment="1">
      <alignment horizontal="right" vertical="top" wrapText="1"/>
    </xf>
    <xf numFmtId="0" fontId="14" fillId="15" borderId="2" xfId="0" applyFont="1" applyFill="1" applyBorder="1" applyAlignment="1">
      <alignment horizontal="left" vertical="top" wrapText="1"/>
    </xf>
    <xf numFmtId="0" fontId="14" fillId="15" borderId="2" xfId="0" applyFont="1" applyFill="1" applyBorder="1" applyAlignment="1">
      <alignment horizontal="right" vertical="top" wrapText="1"/>
    </xf>
    <xf numFmtId="0" fontId="14" fillId="16" borderId="2" xfId="0" applyFont="1" applyFill="1" applyBorder="1" applyAlignment="1">
      <alignment horizontal="left" vertical="top" wrapText="1"/>
    </xf>
    <xf numFmtId="4" fontId="14" fillId="16" borderId="2" xfId="0" applyNumberFormat="1" applyFont="1" applyFill="1" applyBorder="1" applyAlignment="1">
      <alignment horizontal="right" vertical="top" wrapText="1"/>
    </xf>
    <xf numFmtId="0" fontId="16" fillId="11" borderId="2" xfId="0" applyFont="1" applyFill="1" applyBorder="1" applyAlignment="1">
      <alignment horizontal="left" vertical="top" wrapText="1"/>
    </xf>
    <xf numFmtId="4" fontId="16" fillId="11" borderId="2" xfId="0" applyNumberFormat="1" applyFont="1" applyFill="1" applyBorder="1" applyAlignment="1">
      <alignment horizontal="right" vertical="top" wrapText="1"/>
    </xf>
    <xf numFmtId="0" fontId="16" fillId="11" borderId="2" xfId="0" applyFont="1" applyFill="1" applyBorder="1" applyAlignment="1">
      <alignment horizontal="right" vertical="top" wrapText="1"/>
    </xf>
    <xf numFmtId="0" fontId="14" fillId="12" borderId="2" xfId="0" applyFont="1" applyFill="1" applyBorder="1" applyAlignment="1">
      <alignment horizontal="left" vertical="top" wrapText="1"/>
    </xf>
    <xf numFmtId="4" fontId="14" fillId="12" borderId="2" xfId="0" applyNumberFormat="1" applyFont="1" applyFill="1" applyBorder="1" applyAlignment="1">
      <alignment horizontal="right" vertical="top" wrapText="1"/>
    </xf>
    <xf numFmtId="0" fontId="14" fillId="13" borderId="2" xfId="0" applyFont="1" applyFill="1" applyBorder="1" applyAlignment="1">
      <alignment horizontal="left" vertical="top" wrapText="1"/>
    </xf>
    <xf numFmtId="0" fontId="14" fillId="13" borderId="2" xfId="0" applyFont="1" applyFill="1" applyBorder="1" applyAlignment="1">
      <alignment horizontal="right" vertical="top" wrapText="1"/>
    </xf>
    <xf numFmtId="0" fontId="14" fillId="12" borderId="2" xfId="0" applyFont="1" applyFill="1" applyBorder="1" applyAlignment="1">
      <alignment horizontal="right" vertical="top" wrapText="1"/>
    </xf>
    <xf numFmtId="0" fontId="15" fillId="0" borderId="0" xfId="0" applyFont="1" applyAlignment="1">
      <alignment horizontal="center" vertical="center"/>
    </xf>
    <xf numFmtId="9" fontId="13" fillId="0" borderId="0" xfId="2" applyFont="1" applyFill="1"/>
    <xf numFmtId="0" fontId="17" fillId="0" borderId="0" xfId="0" applyFont="1" applyAlignment="1">
      <alignment vertical="top"/>
    </xf>
    <xf numFmtId="4" fontId="0" fillId="0" borderId="0" xfId="0" applyNumberFormat="1"/>
    <xf numFmtId="0" fontId="18" fillId="0" borderId="0" xfId="0" applyFont="1" applyAlignment="1">
      <alignment vertical="top" wrapText="1"/>
    </xf>
    <xf numFmtId="0" fontId="16" fillId="12" borderId="2" xfId="0" applyFont="1" applyFill="1" applyBorder="1" applyAlignment="1">
      <alignment horizontal="left" vertical="top" wrapText="1"/>
    </xf>
    <xf numFmtId="0" fontId="4" fillId="0" borderId="0" xfId="0" applyFont="1" applyAlignment="1">
      <alignment horizontal="right"/>
    </xf>
    <xf numFmtId="0" fontId="0" fillId="0" borderId="2" xfId="0" applyBorder="1"/>
    <xf numFmtId="0" fontId="12" fillId="0" borderId="0" xfId="0" applyFont="1"/>
    <xf numFmtId="0" fontId="19" fillId="17" borderId="2" xfId="0" applyFont="1" applyFill="1" applyBorder="1"/>
    <xf numFmtId="0" fontId="21" fillId="17" borderId="2" xfId="0" applyFont="1" applyFill="1" applyBorder="1"/>
    <xf numFmtId="0" fontId="12" fillId="15" borderId="2" xfId="0" applyFont="1" applyFill="1" applyBorder="1"/>
    <xf numFmtId="0" fontId="0" fillId="15" borderId="2" xfId="0" applyFill="1" applyBorder="1"/>
    <xf numFmtId="0" fontId="20" fillId="17" borderId="2" xfId="0" applyFont="1" applyFill="1" applyBorder="1"/>
    <xf numFmtId="0" fontId="13" fillId="0" borderId="2" xfId="0" applyFont="1" applyBorder="1"/>
    <xf numFmtId="0" fontId="22" fillId="0" borderId="2" xfId="3" applyFont="1" applyBorder="1" applyAlignment="1">
      <alignment horizontal="center" vertical="top"/>
    </xf>
    <xf numFmtId="0" fontId="4" fillId="0" borderId="0" xfId="0" applyFont="1" applyAlignment="1">
      <alignment horizontal="center" vertical="center" wrapText="1"/>
    </xf>
    <xf numFmtId="0" fontId="12" fillId="0" borderId="0" xfId="0" applyFont="1" applyAlignment="1">
      <alignment vertical="center" wrapText="1"/>
    </xf>
    <xf numFmtId="0" fontId="12" fillId="0" borderId="0" xfId="0" applyFont="1" applyAlignment="1">
      <alignment horizontal="center" vertical="center" wrapText="1"/>
    </xf>
    <xf numFmtId="0" fontId="1" fillId="0" borderId="2" xfId="3" applyBorder="1"/>
    <xf numFmtId="0" fontId="12" fillId="0" borderId="2" xfId="0" applyFont="1" applyBorder="1"/>
    <xf numFmtId="0" fontId="19" fillId="17" borderId="2" xfId="0" applyFont="1" applyFill="1" applyBorder="1" applyAlignment="1">
      <alignment horizontal="center"/>
    </xf>
    <xf numFmtId="0" fontId="5" fillId="0" borderId="0" xfId="0" applyFont="1" applyAlignment="1">
      <alignment horizontal="center"/>
    </xf>
    <xf numFmtId="0" fontId="12" fillId="15" borderId="3" xfId="0" applyFont="1" applyFill="1" applyBorder="1" applyAlignment="1">
      <alignment horizontal="center"/>
    </xf>
  </cellXfs>
  <cellStyles count="4">
    <cellStyle name="Normal" xfId="0" builtinId="0"/>
    <cellStyle name="Normal 2" xfId="1" xr:uid="{00000000-0005-0000-0000-000001000000}"/>
    <cellStyle name="Normal 3" xfId="3" xr:uid="{0247887B-D800-4247-B7C8-4F1E4326C3B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146050</xdr:colOff>
      <xdr:row>0</xdr:row>
      <xdr:rowOff>31750</xdr:rowOff>
    </xdr:from>
    <xdr:to>
      <xdr:col>0</xdr:col>
      <xdr:colOff>1149350</xdr:colOff>
      <xdr:row>4</xdr:row>
      <xdr:rowOff>133350</xdr:rowOff>
    </xdr:to>
    <xdr:pic>
      <xdr:nvPicPr>
        <xdr:cNvPr id="3" name="image1.jpg" descr="Square_logo">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050" y="31750"/>
          <a:ext cx="1003300" cy="86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123825</xdr:colOff>
      <xdr:row>0</xdr:row>
      <xdr:rowOff>0</xdr:rowOff>
    </xdr:from>
    <xdr:ext cx="8848725" cy="5229224"/>
    <xdr:sp macro="" textlink="">
      <xdr:nvSpPr>
        <xdr:cNvPr id="3" name="Shape 3">
          <a:extLst>
            <a:ext uri="{FF2B5EF4-FFF2-40B4-BE49-F238E27FC236}">
              <a16:creationId xmlns:a16="http://schemas.microsoft.com/office/drawing/2014/main" id="{00000000-0008-0000-0200-000003000000}"/>
            </a:ext>
          </a:extLst>
        </xdr:cNvPr>
        <xdr:cNvSpPr/>
      </xdr:nvSpPr>
      <xdr:spPr>
        <a:xfrm>
          <a:off x="123825" y="0"/>
          <a:ext cx="8848725" cy="5229224"/>
        </a:xfrm>
        <a:prstGeom prst="rect">
          <a:avLst/>
        </a:prstGeom>
        <a:solidFill>
          <a:schemeClr val="lt1"/>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r>
            <a:rPr lang="en-US" sz="1100" b="1">
              <a:effectLst/>
              <a:latin typeface="+mn-lt"/>
              <a:ea typeface="+mn-ea"/>
              <a:cs typeface="+mn-cs"/>
            </a:rPr>
            <a:t>Q1. Part</a:t>
          </a:r>
          <a:r>
            <a:rPr lang="en-US" sz="1100" b="1" baseline="0">
              <a:effectLst/>
              <a:latin typeface="+mn-lt"/>
              <a:ea typeface="+mn-ea"/>
              <a:cs typeface="+mn-cs"/>
            </a:rPr>
            <a:t> </a:t>
          </a:r>
          <a:r>
            <a:rPr lang="en-US" sz="1100" b="1">
              <a:effectLst/>
              <a:latin typeface="+mn-lt"/>
              <a:ea typeface="+mn-ea"/>
              <a:cs typeface="+mn-cs"/>
            </a:rPr>
            <a:t>A. Identify Accounting Principles</a:t>
          </a:r>
        </a:p>
        <a:p>
          <a:endParaRPr lang="en-US" sz="1100" b="1">
            <a:effectLst/>
            <a:latin typeface="+mn-lt"/>
            <a:ea typeface="+mn-ea"/>
            <a:cs typeface="+mn-cs"/>
          </a:endParaRPr>
        </a:p>
        <a:p>
          <a:r>
            <a:rPr lang="en-US" sz="1100" b="1">
              <a:effectLst/>
              <a:latin typeface="+mn-lt"/>
              <a:ea typeface="+mn-ea"/>
              <a:cs typeface="+mn-cs"/>
            </a:rPr>
            <a:t>1. </a:t>
          </a:r>
          <a:r>
            <a:rPr lang="en-US" sz="1100">
              <a:effectLst/>
              <a:latin typeface="+mn-lt"/>
              <a:ea typeface="+mn-ea"/>
              <a:cs typeface="+mn-cs"/>
            </a:rPr>
            <a:t>A company has been running at heavy losses for the last three years. Despite this, its accountant continues to prepare financial statements assuming that the company will operate in the foreseeable future.</a:t>
          </a:r>
        </a:p>
        <a:p>
          <a:endParaRPr lang="en-US" sz="1100" b="1">
            <a:effectLst/>
            <a:latin typeface="+mn-lt"/>
            <a:ea typeface="+mn-ea"/>
            <a:cs typeface="+mn-cs"/>
          </a:endParaRPr>
        </a:p>
        <a:p>
          <a:r>
            <a:rPr lang="en-US" sz="1100" b="1" baseline="0">
              <a:effectLst/>
              <a:latin typeface="+mn-lt"/>
              <a:ea typeface="+mn-ea"/>
              <a:cs typeface="+mn-cs"/>
            </a:rPr>
            <a:t>2. </a:t>
          </a:r>
          <a:r>
            <a:rPr lang="en-US"/>
            <a:t>XYZ Ltd. expects that one of its customers may default on a payment of ₹50,000. The accountant immediately makes a provision for doubtful debts but does not record a possible gain of ₹70,000 from a lawsuit (which is still pending).</a:t>
          </a:r>
        </a:p>
        <a:p>
          <a:endParaRPr lang="en-US"/>
        </a:p>
        <a:p>
          <a:r>
            <a:rPr lang="en-US" sz="1100" b="1" baseline="0">
              <a:effectLst/>
              <a:latin typeface="+mn-lt"/>
              <a:ea typeface="+mn-ea"/>
              <a:cs typeface="+mn-cs"/>
            </a:rPr>
            <a:t>3. </a:t>
          </a:r>
          <a:r>
            <a:rPr lang="en-US"/>
            <a:t>ABC Pvt. Ltd. pays ₹60,000 as annual rent on 1st January 2024. At the end of March 2024 (quarter end), the accountant records only ₹15,000 as rent expense, even though the full amount has already been paid.</a:t>
          </a:r>
        </a:p>
        <a:p>
          <a:endParaRPr lang="en-US" sz="1100" b="1" baseline="0">
            <a:effectLst/>
            <a:latin typeface="+mn-lt"/>
            <a:ea typeface="+mn-ea"/>
            <a:cs typeface="+mn-cs"/>
          </a:endParaRPr>
        </a:p>
        <a:p>
          <a:r>
            <a:rPr lang="en-US" sz="1100" b="1" baseline="0">
              <a:effectLst/>
              <a:latin typeface="+mn-lt"/>
              <a:ea typeface="+mn-ea"/>
              <a:cs typeface="+mn-cs"/>
            </a:rPr>
            <a:t>4. </a:t>
          </a:r>
          <a:r>
            <a:rPr lang="en-IN"/>
            <a:t>A company purchases a laptop for ₹1,00,000. It charges ₹10,000 as depreciation expense each year, and this process continues until the end of the laptop’s useful life. </a:t>
          </a:r>
        </a:p>
        <a:p>
          <a:endParaRPr lang="en-IN"/>
        </a:p>
        <a:p>
          <a:r>
            <a:rPr lang="en-IN" b="1"/>
            <a:t>Part B. </a:t>
          </a:r>
        </a:p>
        <a:p>
          <a:r>
            <a:rPr lang="en-IN" b="1"/>
            <a:t>AeroBuild Ltd.</a:t>
          </a:r>
          <a:r>
            <a:rPr lang="en-IN"/>
            <a:t> has launched a new aircraft manufacturing program with an expected total production of </a:t>
          </a:r>
          <a:r>
            <a:rPr lang="en-IN" b="1"/>
            <a:t>100 aircraft</a:t>
          </a:r>
          <a:r>
            <a:rPr lang="en-IN"/>
            <a:t>.</a:t>
          </a:r>
        </a:p>
        <a:p>
          <a:r>
            <a:rPr lang="en-IN"/>
            <a:t>Estimated average production cost per aircraft: </a:t>
          </a:r>
          <a:r>
            <a:rPr lang="en-IN" b="1"/>
            <a:t>$90 million</a:t>
          </a:r>
          <a:endParaRPr lang="en-IN"/>
        </a:p>
        <a:p>
          <a:r>
            <a:rPr lang="en-IN"/>
            <a:t>Actual production cost of the first three aircraft: </a:t>
          </a:r>
          <a:r>
            <a:rPr lang="en-IN" b="1"/>
            <a:t>$110m, $105m, and $100M</a:t>
          </a:r>
          <a:endParaRPr lang="en-IN"/>
        </a:p>
        <a:p>
          <a:r>
            <a:rPr lang="en-IN"/>
            <a:t>Selling price per aircraft: </a:t>
          </a:r>
          <a:r>
            <a:rPr lang="en-IN" b="1"/>
            <a:t>$120 million</a:t>
          </a:r>
          <a:r>
            <a:rPr lang="en-IN"/>
            <a:t> each</a:t>
          </a:r>
        </a:p>
        <a:p>
          <a:r>
            <a:rPr lang="en-IN"/>
            <a:t>The company follows </a:t>
          </a:r>
          <a:r>
            <a:rPr lang="en-IN" b="1"/>
            <a:t>Program Accounting</a:t>
          </a:r>
          <a:r>
            <a:rPr lang="en-IN"/>
            <a:t> (US GAAP) to spread costs over the life of the program.</a:t>
          </a:r>
        </a:p>
        <a:p>
          <a:r>
            <a:rPr lang="en-IN" b="1"/>
            <a:t>Required:</a:t>
          </a:r>
          <a:endParaRPr lang="en-IN"/>
        </a:p>
        <a:p>
          <a:r>
            <a:rPr lang="en-IN"/>
            <a:t>Calculate the profit for the first three years under </a:t>
          </a:r>
          <a:r>
            <a:rPr lang="en-IN" b="1"/>
            <a:t>IFRS (Unit Cost Accounting)</a:t>
          </a:r>
          <a:r>
            <a:rPr lang="en-IN"/>
            <a:t> and </a:t>
          </a:r>
          <a:r>
            <a:rPr lang="en-IN" b="1"/>
            <a:t>US GAAP (Program Accounting)</a:t>
          </a:r>
          <a:r>
            <a:rPr lang="en-IN"/>
            <a:t>.</a:t>
          </a:r>
        </a:p>
        <a:p>
          <a:r>
            <a:rPr lang="en-IN"/>
            <a:t>Under US GAAP, explain the treatment of </a:t>
          </a:r>
          <a:r>
            <a:rPr lang="en-IN" b="1"/>
            <a:t>Deferred Production Cost (DPC)</a:t>
          </a:r>
          <a:r>
            <a:rPr lang="en-IN"/>
            <a:t> arising in the first three years.</a:t>
          </a:r>
        </a:p>
        <a:p>
          <a:endParaRPr lang="en-US" sz="1100" b="1" baseline="0">
            <a:solidFill>
              <a:srgbClr val="000000"/>
            </a:solidFill>
            <a:effectLst/>
            <a:latin typeface="+mn-lt"/>
            <a:ea typeface="+mn-ea"/>
            <a:cs typeface="+mn-cs"/>
            <a:sym typeface="Times New Roman"/>
          </a:endParaRPr>
        </a:p>
        <a:p>
          <a:r>
            <a:rPr lang="en-US" sz="1200">
              <a:solidFill>
                <a:srgbClr val="000000"/>
              </a:solidFill>
              <a:latin typeface="Times New Roman"/>
              <a:ea typeface="Times New Roman"/>
              <a:cs typeface="Times New Roman"/>
              <a:sym typeface="Times New Roman"/>
            </a:rPr>
            <a:t>					</a:t>
          </a:r>
          <a:r>
            <a:rPr lang="en-US" sz="1400">
              <a:solidFill>
                <a:srgbClr val="000000"/>
              </a:solidFill>
              <a:latin typeface="Calibri"/>
              <a:ea typeface="Calibri"/>
              <a:cs typeface="Calibri"/>
              <a:sym typeface="Calibri"/>
            </a:rPr>
            <a:t>			  </a:t>
          </a:r>
        </a:p>
        <a:p>
          <a:endParaRPr lang="en-US" sz="1400" b="1">
            <a:solidFill>
              <a:srgbClr val="000000"/>
            </a:solidFill>
            <a:latin typeface="Calibri"/>
            <a:ea typeface="Calibri"/>
            <a:cs typeface="Calibri"/>
            <a:sym typeface="Calibri"/>
          </a:endParaRPr>
        </a:p>
        <a:p>
          <a:r>
            <a:rPr lang="en-US" sz="1400" b="1">
              <a:solidFill>
                <a:srgbClr val="000000"/>
              </a:solidFill>
              <a:latin typeface="Calibri"/>
              <a:ea typeface="Calibri"/>
              <a:cs typeface="Calibri"/>
              <a:sym typeface="Calibri"/>
            </a:rPr>
            <a:t>										( 2+2= 4 Marks)</a:t>
          </a:r>
          <a:endParaRPr sz="1400">
            <a:solidFill>
              <a:srgbClr val="000000"/>
            </a:solidFill>
            <a:latin typeface="Calibri"/>
            <a:ea typeface="Calibri"/>
            <a:cs typeface="Calibri"/>
            <a:sym typeface="Calibri"/>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184785</xdr:colOff>
      <xdr:row>0</xdr:row>
      <xdr:rowOff>45720</xdr:rowOff>
    </xdr:from>
    <xdr:ext cx="7839075" cy="2539999"/>
    <xdr:sp macro="" textlink="">
      <xdr:nvSpPr>
        <xdr:cNvPr id="2" name="Shape 3">
          <a:extLst>
            <a:ext uri="{FF2B5EF4-FFF2-40B4-BE49-F238E27FC236}">
              <a16:creationId xmlns:a16="http://schemas.microsoft.com/office/drawing/2014/main" id="{00000000-0008-0000-0200-000003000000}"/>
            </a:ext>
          </a:extLst>
        </xdr:cNvPr>
        <xdr:cNvSpPr/>
      </xdr:nvSpPr>
      <xdr:spPr>
        <a:xfrm>
          <a:off x="184785" y="45720"/>
          <a:ext cx="7839075" cy="2539999"/>
        </a:xfrm>
        <a:prstGeom prst="rect">
          <a:avLst/>
        </a:prstGeom>
        <a:solidFill>
          <a:schemeClr val="lt1"/>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r>
            <a:rPr lang="en-US" sz="1100" b="1">
              <a:effectLst/>
              <a:latin typeface="+mn-lt"/>
              <a:ea typeface="+mn-ea"/>
              <a:cs typeface="+mn-cs"/>
            </a:rPr>
            <a:t>Q2.</a:t>
          </a:r>
          <a:r>
            <a:rPr lang="en-IN" sz="1100" b="1">
              <a:effectLst/>
              <a:latin typeface="+mn-lt"/>
              <a:ea typeface="+mn-ea"/>
              <a:cs typeface="+mn-cs"/>
            </a:rPr>
            <a:t> Identify whether the following transactions affect the Cash Flow Statement. If yes, mention under which activity (Operating / Investing / Financing). If no, explain why.</a:t>
          </a:r>
          <a:endParaRPr lang="en-IN">
            <a:effectLst/>
          </a:endParaRPr>
        </a:p>
        <a:p>
          <a:r>
            <a:rPr lang="en-IN" sz="1100">
              <a:effectLst/>
              <a:latin typeface="+mn-lt"/>
              <a:ea typeface="+mn-ea"/>
              <a:cs typeface="+mn-cs"/>
            </a:rPr>
            <a:t>1. Purchase of machinery in cash ₹80,000</a:t>
          </a:r>
          <a:endParaRPr lang="en-IN">
            <a:effectLst/>
          </a:endParaRPr>
        </a:p>
        <a:p>
          <a:r>
            <a:rPr lang="en-IN" sz="1100">
              <a:effectLst/>
              <a:latin typeface="+mn-lt"/>
              <a:ea typeface="+mn-ea"/>
              <a:cs typeface="+mn-cs"/>
            </a:rPr>
            <a:t>2. Issue of equity shares for cash ₹2,00,000</a:t>
          </a:r>
          <a:endParaRPr lang="en-IN">
            <a:effectLst/>
          </a:endParaRPr>
        </a:p>
        <a:p>
          <a:r>
            <a:rPr lang="en-IN" sz="1100">
              <a:effectLst/>
              <a:latin typeface="+mn-lt"/>
              <a:ea typeface="+mn-ea"/>
              <a:cs typeface="+mn-cs"/>
            </a:rPr>
            <a:t>3. Depreciation charged on plant ₹15,000</a:t>
          </a:r>
          <a:endParaRPr lang="en-IN">
            <a:effectLst/>
          </a:endParaRPr>
        </a:p>
        <a:p>
          <a:r>
            <a:rPr lang="en-IN" sz="1100">
              <a:effectLst/>
              <a:latin typeface="+mn-lt"/>
              <a:ea typeface="+mn-ea"/>
              <a:cs typeface="+mn-cs"/>
            </a:rPr>
            <a:t>4. Payment of salaries ₹50,000</a:t>
          </a:r>
          <a:endParaRPr lang="en-IN">
            <a:effectLst/>
          </a:endParaRPr>
        </a:p>
        <a:p>
          <a:r>
            <a:rPr lang="en-IN" sz="1100">
              <a:effectLst/>
              <a:latin typeface="+mn-lt"/>
              <a:ea typeface="+mn-ea"/>
              <a:cs typeface="+mn-cs"/>
            </a:rPr>
            <a:t>5. Receipt of interest income ₹10,000</a:t>
          </a:r>
          <a:endParaRPr lang="en-IN">
            <a:effectLst/>
          </a:endParaRPr>
        </a:p>
        <a:p>
          <a:r>
            <a:rPr lang="en-IN" sz="1100">
              <a:effectLst/>
              <a:latin typeface="+mn-lt"/>
              <a:ea typeface="+mn-ea"/>
              <a:cs typeface="+mn-cs"/>
            </a:rPr>
            <a:t>6. Transfer of profit to General Reserve ₹20,000</a:t>
          </a:r>
          <a:endParaRPr lang="en-IN">
            <a:effectLst/>
          </a:endParaRPr>
        </a:p>
        <a:p>
          <a:r>
            <a:rPr lang="en-IN" sz="1100">
              <a:effectLst/>
              <a:latin typeface="+mn-lt"/>
              <a:ea typeface="+mn-ea"/>
              <a:cs typeface="+mn-cs"/>
            </a:rPr>
            <a:t>7. Repayment of bank loan ₹1,00,000</a:t>
          </a:r>
          <a:endParaRPr lang="en-IN">
            <a:effectLst/>
          </a:endParaRPr>
        </a:p>
        <a:p>
          <a:r>
            <a:rPr lang="en-IN" sz="1100">
              <a:effectLst/>
              <a:latin typeface="+mn-lt"/>
              <a:ea typeface="+mn-ea"/>
              <a:cs typeface="+mn-cs"/>
            </a:rPr>
            <a:t>8. Goods purchased on credit ₹30,000</a:t>
          </a:r>
          <a:endParaRPr lang="en-IN">
            <a:effectLst/>
          </a:endParaRPr>
        </a:p>
        <a:p>
          <a:endParaRPr lang="en-US" sz="1100" b="1">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effectLst/>
              <a:latin typeface="+mn-lt"/>
              <a:ea typeface="+mn-ea"/>
              <a:cs typeface="+mn-cs"/>
            </a:rPr>
            <a:t>							( 4 Marks)</a:t>
          </a:r>
          <a:endParaRPr lang="en-IN">
            <a:effectLst/>
          </a:endParaRPr>
        </a:p>
        <a:p>
          <a:endParaRPr lang="en-US" sz="1100" b="1">
            <a:effectLst/>
            <a:latin typeface="+mn-lt"/>
            <a:ea typeface="+mn-ea"/>
            <a:cs typeface="+mn-cs"/>
          </a:endParaRPr>
        </a:p>
        <a:p>
          <a:r>
            <a:rPr lang="en-US" sz="1200">
              <a:solidFill>
                <a:srgbClr val="000000"/>
              </a:solidFill>
              <a:latin typeface="Times New Roman"/>
              <a:ea typeface="Times New Roman"/>
              <a:cs typeface="Times New Roman"/>
              <a:sym typeface="Times New Roman"/>
            </a:rPr>
            <a:t>					</a:t>
          </a:r>
          <a:r>
            <a:rPr lang="en-US" sz="1400">
              <a:solidFill>
                <a:srgbClr val="000000"/>
              </a:solidFill>
              <a:latin typeface="Calibri"/>
              <a:ea typeface="Calibri"/>
              <a:cs typeface="Calibri"/>
              <a:sym typeface="Calibri"/>
            </a:rPr>
            <a:t>			</a:t>
          </a:r>
        </a:p>
        <a:p>
          <a:endParaRPr lang="en-US" sz="1400" b="1">
            <a:solidFill>
              <a:srgbClr val="000000"/>
            </a:solidFill>
            <a:latin typeface="Calibri"/>
            <a:ea typeface="Calibri"/>
            <a:cs typeface="Calibri"/>
            <a:sym typeface="Calibri"/>
          </a:endParaRPr>
        </a:p>
        <a:p>
          <a:endParaRPr lang="en-US" sz="1400" b="1">
            <a:solidFill>
              <a:srgbClr val="000000"/>
            </a:solidFill>
            <a:latin typeface="Calibri"/>
            <a:ea typeface="Calibri"/>
            <a:cs typeface="Calibri"/>
            <a:sym typeface="Calibri"/>
          </a:endParaRPr>
        </a:p>
        <a:p>
          <a:endParaRPr lang="en-US" sz="1400" b="1">
            <a:solidFill>
              <a:srgbClr val="000000"/>
            </a:solidFill>
            <a:latin typeface="Calibri"/>
            <a:ea typeface="Calibri"/>
            <a:cs typeface="Calibri"/>
            <a:sym typeface="Calibri"/>
          </a:endParaRPr>
        </a:p>
        <a:p>
          <a:endParaRPr lang="en-US" sz="1400" b="1">
            <a:solidFill>
              <a:srgbClr val="000000"/>
            </a:solidFill>
            <a:latin typeface="Calibri"/>
            <a:ea typeface="Calibri"/>
            <a:cs typeface="Calibri"/>
            <a:sym typeface="Calibri"/>
          </a:endParaRPr>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76200</xdr:colOff>
      <xdr:row>0</xdr:row>
      <xdr:rowOff>1</xdr:rowOff>
    </xdr:from>
    <xdr:ext cx="8315325" cy="6648450"/>
    <xdr:sp macro="" textlink="">
      <xdr:nvSpPr>
        <xdr:cNvPr id="8" name="Shape 8">
          <a:extLst>
            <a:ext uri="{FF2B5EF4-FFF2-40B4-BE49-F238E27FC236}">
              <a16:creationId xmlns:a16="http://schemas.microsoft.com/office/drawing/2014/main" id="{00000000-0008-0000-0900-000008000000}"/>
            </a:ext>
          </a:extLst>
        </xdr:cNvPr>
        <xdr:cNvSpPr/>
      </xdr:nvSpPr>
      <xdr:spPr>
        <a:xfrm>
          <a:off x="76200" y="1"/>
          <a:ext cx="8315325" cy="6648450"/>
        </a:xfrm>
        <a:prstGeom prst="rect">
          <a:avLst/>
        </a:prstGeom>
        <a:solidFill>
          <a:schemeClr val="lt1"/>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defTabSz="914400" rtl="0" eaLnBrk="1" fontAlgn="auto" latinLnBrk="0" hangingPunct="1">
            <a:lnSpc>
              <a:spcPct val="100000"/>
            </a:lnSpc>
            <a:spcBef>
              <a:spcPts val="0"/>
            </a:spcBef>
            <a:spcAft>
              <a:spcPts val="0"/>
            </a:spcAft>
            <a:buClr>
              <a:srgbClr val="000000"/>
            </a:buClr>
            <a:buSzPts val="1400"/>
            <a:buFont typeface="Calibri"/>
            <a:buNone/>
            <a:tabLst/>
            <a:defRPr/>
          </a:pPr>
          <a:r>
            <a:rPr lang="en-US" sz="1200" b="1">
              <a:solidFill>
                <a:srgbClr val="000000"/>
              </a:solidFill>
              <a:latin typeface="Calibri"/>
              <a:ea typeface="Calibri"/>
              <a:cs typeface="Calibri"/>
              <a:sym typeface="Calibri"/>
            </a:rPr>
            <a:t>Q 4. Case Study:  </a:t>
          </a:r>
          <a:r>
            <a:rPr lang="en-US" sz="1200" b="1" i="1">
              <a:solidFill>
                <a:srgbClr val="000000"/>
              </a:solidFill>
              <a:latin typeface="Calibri"/>
              <a:ea typeface="Calibri"/>
              <a:cs typeface="Calibri"/>
              <a:sym typeface="Calibri"/>
            </a:rPr>
            <a:t>Is </a:t>
          </a:r>
          <a:r>
            <a:rPr lang="en-US" sz="1200" b="1" i="1">
              <a:solidFill>
                <a:srgbClr val="000000"/>
              </a:solidFill>
              <a:latin typeface="Calibri"/>
              <a:ea typeface="Calibri"/>
              <a:cs typeface="Calibri"/>
            </a:rPr>
            <a:t>Adani Power Ltd</a:t>
          </a:r>
          <a:r>
            <a:rPr lang="en-US" sz="1050" b="0">
              <a:effectLst/>
              <a:latin typeface="+mn-lt"/>
              <a:ea typeface="+mn-ea"/>
              <a:cs typeface="+mn-cs"/>
            </a:rPr>
            <a:t>. </a:t>
          </a:r>
          <a:r>
            <a:rPr lang="en-US" sz="1200" b="1" i="1">
              <a:solidFill>
                <a:srgbClr val="000000"/>
              </a:solidFill>
              <a:latin typeface="Calibri"/>
              <a:ea typeface="Calibri"/>
              <a:cs typeface="Calibri"/>
              <a:sym typeface="Calibri"/>
            </a:rPr>
            <a:t>a Value Buying Stock?</a:t>
          </a:r>
        </a:p>
        <a:p>
          <a:pPr marL="0" lvl="0" indent="0" algn="l" rtl="0">
            <a:spcBef>
              <a:spcPts val="0"/>
            </a:spcBef>
            <a:spcAft>
              <a:spcPts val="0"/>
            </a:spcAft>
            <a:buClr>
              <a:srgbClr val="000000"/>
            </a:buClr>
            <a:buSzPts val="1400"/>
            <a:buFont typeface="Calibri"/>
            <a:buNone/>
          </a:pPr>
          <a:r>
            <a:rPr lang="en-US" sz="1050" b="0" i="0">
              <a:solidFill>
                <a:srgbClr val="000000"/>
              </a:solidFill>
              <a:latin typeface="+mn-lt"/>
              <a:ea typeface="+mn-ea"/>
              <a:cs typeface="+mn-cs"/>
              <a:sym typeface="Calibri"/>
            </a:rPr>
            <a:t>Fund Manager, Ms.</a:t>
          </a:r>
          <a:r>
            <a:rPr lang="en-US" sz="1050" b="0" i="0" baseline="0">
              <a:solidFill>
                <a:srgbClr val="000000"/>
              </a:solidFill>
              <a:latin typeface="+mn-lt"/>
              <a:ea typeface="+mn-ea"/>
              <a:cs typeface="+mn-cs"/>
              <a:sym typeface="Calibri"/>
            </a:rPr>
            <a:t>Khushi </a:t>
          </a:r>
          <a:r>
            <a:rPr lang="en-US" sz="1050" b="0" i="0">
              <a:solidFill>
                <a:srgbClr val="000000"/>
              </a:solidFill>
              <a:latin typeface="+mn-lt"/>
              <a:ea typeface="+mn-ea"/>
              <a:cs typeface="+mn-cs"/>
              <a:sym typeface="Calibri"/>
            </a:rPr>
            <a:t>, Vice President of SMKE Securities Pvt. Ltd.,</a:t>
          </a:r>
          <a:r>
            <a:rPr lang="en-US" sz="1050" b="0" i="0" baseline="0">
              <a:solidFill>
                <a:srgbClr val="000000"/>
              </a:solidFill>
              <a:latin typeface="+mn-lt"/>
              <a:ea typeface="+mn-ea"/>
              <a:cs typeface="+mn-cs"/>
              <a:sym typeface="Calibri"/>
            </a:rPr>
            <a:t> </a:t>
          </a:r>
          <a:r>
            <a:rPr lang="en-US" sz="1050" b="0" i="0">
              <a:solidFill>
                <a:srgbClr val="000000"/>
              </a:solidFill>
              <a:latin typeface="+mn-lt"/>
              <a:ea typeface="+mn-ea"/>
              <a:cs typeface="+mn-cs"/>
              <a:sym typeface="Calibri"/>
            </a:rPr>
            <a:t>looking for the power</a:t>
          </a:r>
          <a:r>
            <a:rPr lang="en-US" sz="1050" b="0" i="0" baseline="0">
              <a:solidFill>
                <a:srgbClr val="000000"/>
              </a:solidFill>
              <a:latin typeface="+mn-lt"/>
              <a:ea typeface="+mn-ea"/>
              <a:cs typeface="+mn-cs"/>
              <a:sym typeface="Calibri"/>
            </a:rPr>
            <a:t> </a:t>
          </a:r>
          <a:r>
            <a:rPr lang="en-US" sz="1050" b="0" i="0">
              <a:solidFill>
                <a:srgbClr val="000000"/>
              </a:solidFill>
              <a:latin typeface="+mn-lt"/>
              <a:ea typeface="+mn-ea"/>
              <a:cs typeface="+mn-cs"/>
              <a:sym typeface="Calibri"/>
            </a:rPr>
            <a:t>sector for investment. India’s power sector remains a foundational pillar of national growth, driving industrialization, agriculture, and socio-economic upliftment. Continual expansion across generation, transmission, and renewable capacity ensures energy security while advancing clean, inclusive development. To support burgeoning demand—which is projected to rise from a peak of around 270 GW in mid-2025 to 446 GW by 2034–35—the government has earmarked substantial investments: ₹1.5 lakh crore in interest-free loans under the 2025–26 Union Budget for transmission infrastructure; a staggering estimated requirement of ₹42 lakh crore by 2032 to modernize the sector, diversify generation sources, and strengthen grid reliability.The recent "PM Surya Ghar Muft Bijli" initiative, with an investment of over ₹75,000 crore, aims to install solar rooftops across one crore households, offering free electricity and accelerating decentralized green energy uptake. Renewable investments are thriving—India attracted $11.8 billion in clean energy ventures in the first half of 2025 alone, with solar accounting for 77% of that flow—and has already exceeded its Paris Agreement target by achieving 50% of installed power capacity from non-fossil fuel sources ahead of the 2030 deadline, underscoring a robust shift toward sustainable energy.</a:t>
          </a:r>
        </a:p>
        <a:p>
          <a:pPr marL="0" lvl="0" indent="0" algn="l" rtl="0">
            <a:spcBef>
              <a:spcPts val="0"/>
            </a:spcBef>
            <a:spcAft>
              <a:spcPts val="0"/>
            </a:spcAft>
            <a:buClr>
              <a:srgbClr val="000000"/>
            </a:buClr>
            <a:buSzPts val="1400"/>
            <a:buFont typeface="Calibri"/>
            <a:buNone/>
          </a:pPr>
          <a:endParaRPr lang="en-US" sz="1050" b="0" i="0">
            <a:solidFill>
              <a:srgbClr val="000000"/>
            </a:solidFill>
            <a:effectLst/>
            <a:latin typeface="+mn-lt"/>
            <a:ea typeface="+mn-ea"/>
            <a:cs typeface="+mn-cs"/>
            <a:sym typeface="Calibri"/>
          </a:endParaRPr>
        </a:p>
        <a:p>
          <a:pPr marL="0" lvl="0" indent="0" algn="l" rtl="0">
            <a:spcBef>
              <a:spcPts val="0"/>
            </a:spcBef>
            <a:spcAft>
              <a:spcPts val="0"/>
            </a:spcAft>
            <a:buClr>
              <a:srgbClr val="000000"/>
            </a:buClr>
            <a:buSzPts val="1400"/>
            <a:buFont typeface="Calibri"/>
            <a:buNone/>
          </a:pPr>
          <a:r>
            <a:rPr lang="en-IN" sz="1050" b="1" i="0">
              <a:effectLst/>
              <a:latin typeface="+mn-lt"/>
              <a:ea typeface="+mn-ea"/>
              <a:cs typeface="+mn-cs"/>
            </a:rPr>
            <a:t>About</a:t>
          </a:r>
          <a:r>
            <a:rPr lang="en-IN" sz="1050" b="1" i="0" baseline="0">
              <a:effectLst/>
              <a:latin typeface="+mn-lt"/>
              <a:ea typeface="+mn-ea"/>
              <a:cs typeface="+mn-cs"/>
            </a:rPr>
            <a:t> </a:t>
          </a:r>
          <a:r>
            <a:rPr lang="en-IN" sz="1050" b="1" i="0">
              <a:effectLst/>
              <a:latin typeface="+mn-lt"/>
              <a:ea typeface="+mn-ea"/>
              <a:cs typeface="+mn-cs"/>
            </a:rPr>
            <a:t>Comapny: </a:t>
          </a:r>
          <a:r>
            <a:rPr lang="en-US" sz="1050" b="1"/>
            <a:t>Adani Power Limited (APL)</a:t>
          </a:r>
          <a:r>
            <a:rPr lang="en-US" sz="1050"/>
            <a:t>, a part of the Adani Group, is India’s largest private sector thermal power producer, engaged in electricity generation and distribution. Incorporated in 1996, the company has grown rapidly to establish a significant footprint across the energy value chain, with an installed capacity of over 15,250 MW spread across Gujarat, Maharashtra, Karnataka, Rajasthan, Chhattisgarh, Jharkhand, and Madhya Pradesh. Adani Power plays a vital role in meeting India’s growing energy demand by operating coal-based, solar, and hybrid power projects while increasingly focusing on sustainable practices. It is also a major player in power trading through long-term Power Purchase Agreements (PPAs) with state utilities and industrial consumers. The company has contributed to India’s energy security by developing critical infrastructure such as transmission lines and port-based power plants, ensuring cost efficiency and supply reliability. With the government’s push for renewable energy, Adani Power is gradually diversifying towards cleaner energy, aligning with India’s vision of achieving net-zero carbon emissions by 2070.</a:t>
          </a:r>
        </a:p>
        <a:p>
          <a:pPr marL="0" lvl="0" indent="0" algn="l" rtl="0">
            <a:spcBef>
              <a:spcPts val="0"/>
            </a:spcBef>
            <a:spcAft>
              <a:spcPts val="0"/>
            </a:spcAft>
            <a:buClr>
              <a:srgbClr val="000000"/>
            </a:buClr>
            <a:buSzPts val="1400"/>
            <a:buFont typeface="Calibri"/>
            <a:buNone/>
          </a:pPr>
          <a:endParaRPr lang="en-IN" sz="1050" b="1" i="0">
            <a:effectLst/>
            <a:latin typeface="+mn-lt"/>
            <a:ea typeface="+mn-ea"/>
            <a:cs typeface="+mn-cs"/>
          </a:endParaRPr>
        </a:p>
        <a:p>
          <a:pPr marL="0" lvl="0" indent="0" algn="l" rtl="0">
            <a:spcBef>
              <a:spcPts val="0"/>
            </a:spcBef>
            <a:spcAft>
              <a:spcPts val="0"/>
            </a:spcAft>
            <a:buClr>
              <a:srgbClr val="000000"/>
            </a:buClr>
            <a:buSzPts val="1400"/>
            <a:buFont typeface="Calibri"/>
            <a:buNone/>
          </a:pPr>
          <a:r>
            <a:rPr lang="en-IN" sz="1050" b="1" i="0">
              <a:effectLst/>
              <a:latin typeface="+mn-lt"/>
              <a:ea typeface="+mn-ea"/>
              <a:cs typeface="+mn-cs"/>
            </a:rPr>
            <a:t>Production Volumes</a:t>
          </a:r>
        </a:p>
        <a:p>
          <a:pPr marL="0" lvl="0" indent="0" algn="l" rtl="0">
            <a:spcBef>
              <a:spcPts val="0"/>
            </a:spcBef>
            <a:spcAft>
              <a:spcPts val="0"/>
            </a:spcAft>
            <a:buClr>
              <a:srgbClr val="000000"/>
            </a:buClr>
            <a:buSzPts val="1400"/>
            <a:buFont typeface="Calibri"/>
            <a:buNone/>
          </a:pPr>
          <a:r>
            <a:rPr lang="en-IN" sz="1050" b="0" i="0">
              <a:effectLst/>
              <a:latin typeface="+mn-lt"/>
              <a:ea typeface="+mn-ea"/>
              <a:cs typeface="+mn-cs"/>
            </a:rPr>
            <a:t>It produced </a:t>
          </a:r>
          <a:r>
            <a:rPr lang="en-US" sz="1050"/>
            <a:t>billion kilowatt-hours of electricity (BU) in</a:t>
          </a:r>
          <a:r>
            <a:rPr lang="en-US" sz="1050" baseline="0"/>
            <a:t> </a:t>
          </a:r>
          <a:r>
            <a:rPr lang="en-US" sz="1050"/>
            <a:t> 2019–20 60BU 2020–21 58BU 2021–22 65BU 2022–23 75BU</a:t>
          </a:r>
          <a:r>
            <a:rPr lang="en-US" sz="1050" baseline="0"/>
            <a:t> </a:t>
          </a:r>
          <a:r>
            <a:rPr lang="en-US" sz="1050"/>
            <a:t>2023–24 82  BU</a:t>
          </a:r>
          <a:endParaRPr lang="en-IN" sz="1050" b="1" i="0">
            <a:effectLst/>
            <a:latin typeface="+mn-lt"/>
            <a:ea typeface="+mn-ea"/>
            <a:cs typeface="+mn-cs"/>
          </a:endParaRPr>
        </a:p>
        <a:p>
          <a:pPr marL="0" lvl="0" indent="0" algn="l" rtl="0">
            <a:spcBef>
              <a:spcPts val="0"/>
            </a:spcBef>
            <a:spcAft>
              <a:spcPts val="0"/>
            </a:spcAft>
            <a:buClr>
              <a:srgbClr val="000000"/>
            </a:buClr>
            <a:buSzPts val="1400"/>
            <a:buFont typeface="Calibri"/>
            <a:buNone/>
          </a:pPr>
          <a:endParaRPr lang="en-IN" sz="1050" b="1" i="0">
            <a:effectLst/>
            <a:latin typeface="+mn-lt"/>
            <a:ea typeface="+mn-ea"/>
            <a:cs typeface="+mn-cs"/>
          </a:endParaRPr>
        </a:p>
        <a:p>
          <a:r>
            <a:rPr lang="en-IN" sz="1050" b="1" i="0">
              <a:effectLst/>
              <a:latin typeface="+mn-lt"/>
              <a:ea typeface="+mn-ea"/>
              <a:cs typeface="+mn-cs"/>
            </a:rPr>
            <a:t>Revenue Breakup</a:t>
          </a:r>
          <a:br>
            <a:rPr lang="en-IN" sz="1050"/>
          </a:br>
          <a:r>
            <a:rPr lang="en-US" sz="1050"/>
            <a:t>PPAs – 72%</a:t>
          </a:r>
        </a:p>
        <a:p>
          <a:r>
            <a:rPr lang="en-US" sz="1050"/>
            <a:t>Merchant Power – 18%</a:t>
          </a:r>
        </a:p>
        <a:p>
          <a:r>
            <a:rPr lang="en-US" sz="1050"/>
            <a:t>Renewable – 6%</a:t>
          </a:r>
        </a:p>
        <a:p>
          <a:r>
            <a:rPr lang="en-US" sz="1050"/>
            <a:t>Export – 3%</a:t>
          </a:r>
        </a:p>
        <a:p>
          <a:r>
            <a:rPr lang="en-US" sz="1050"/>
            <a:t>Other – 1%</a:t>
          </a:r>
        </a:p>
        <a:p>
          <a:pPr marL="0" lvl="0" indent="0" algn="l" rtl="0">
            <a:spcBef>
              <a:spcPts val="0"/>
            </a:spcBef>
            <a:spcAft>
              <a:spcPts val="0"/>
            </a:spcAft>
            <a:buClr>
              <a:srgbClr val="000000"/>
            </a:buClr>
            <a:buSzPts val="1400"/>
            <a:buFont typeface="Calibri"/>
            <a:buNone/>
          </a:pPr>
          <a:endParaRPr lang="en-IN" sz="1050" b="0" i="0">
            <a:effectLst/>
            <a:latin typeface="+mn-lt"/>
            <a:ea typeface="+mn-ea"/>
            <a:cs typeface="+mn-cs"/>
          </a:endParaRPr>
        </a:p>
        <a:p>
          <a:r>
            <a:rPr lang="en-IN" sz="1050" b="0" i="0">
              <a:effectLst/>
              <a:latin typeface="+mn-lt"/>
              <a:ea typeface="+mn-ea"/>
              <a:cs typeface="+mn-cs"/>
            </a:rPr>
            <a:t>Ms.Khushi has</a:t>
          </a:r>
          <a:r>
            <a:rPr lang="en-IN" sz="1050" b="0" i="0" baseline="0">
              <a:effectLst/>
              <a:latin typeface="+mn-lt"/>
              <a:ea typeface="+mn-ea"/>
              <a:cs typeface="+mn-cs"/>
            </a:rPr>
            <a:t> also analysed the overall sentiments of investors from moneycontrol and she found that the stock is undervalued. However, she further want to check the fundamentals of the company. Can </a:t>
          </a:r>
          <a:r>
            <a:rPr lang="en-IN" sz="1050" b="0" i="0">
              <a:effectLst/>
              <a:latin typeface="+mn-lt"/>
              <a:ea typeface="+mn-ea"/>
              <a:cs typeface="+mn-cs"/>
            </a:rPr>
            <a:t>you assist</a:t>
          </a:r>
          <a:r>
            <a:rPr lang="en-IN" sz="1050" b="0" i="0" baseline="0">
              <a:effectLst/>
              <a:latin typeface="+mn-lt"/>
              <a:ea typeface="+mn-ea"/>
              <a:cs typeface="+mn-cs"/>
            </a:rPr>
            <a:t> her to </a:t>
          </a:r>
          <a:r>
            <a:rPr lang="en-IN" sz="1050" b="0" i="0">
              <a:effectLst/>
              <a:latin typeface="+mn-lt"/>
              <a:ea typeface="+mn-ea"/>
              <a:cs typeface="+mn-cs"/>
            </a:rPr>
            <a:t>analsyse</a:t>
          </a:r>
          <a:r>
            <a:rPr lang="en-IN" sz="1050" b="0" i="0" baseline="0">
              <a:effectLst/>
              <a:latin typeface="+mn-lt"/>
              <a:ea typeface="+mn-ea"/>
              <a:cs typeface="+mn-cs"/>
            </a:rPr>
            <a:t> the Financial Statements of the Adani Power Ltd. and give your report on the following pointers:</a:t>
          </a:r>
          <a:endParaRPr lang="en-IN" sz="1050">
            <a:effectLst/>
          </a:endParaRPr>
        </a:p>
        <a:p>
          <a:r>
            <a:rPr lang="en-IN" sz="1050" b="0" i="0" baseline="0">
              <a:effectLst/>
              <a:latin typeface="+mn-lt"/>
              <a:ea typeface="+mn-ea"/>
              <a:cs typeface="+mn-cs"/>
            </a:rPr>
            <a:t>1. Analyse the Income Statement (See Tab:Source&gt;&gt;IS)	</a:t>
          </a:r>
          <a:r>
            <a:rPr lang="en-IN" sz="1050" b="0" i="1" baseline="0">
              <a:effectLst/>
              <a:latin typeface="+mn-lt"/>
              <a:ea typeface="+mn-ea"/>
              <a:cs typeface="+mn-cs"/>
            </a:rPr>
            <a:t>(Marks 6)</a:t>
          </a:r>
          <a:endParaRPr lang="en-IN" sz="1050" i="1">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IN" sz="1050" b="0" i="0" baseline="0">
              <a:effectLst/>
              <a:latin typeface="+mn-lt"/>
              <a:ea typeface="+mn-ea"/>
              <a:cs typeface="+mn-cs"/>
            </a:rPr>
            <a:t>2. Analyse the Balance Sheet (See Tab: Source&gt;&gt;BS)	</a:t>
          </a:r>
          <a:r>
            <a:rPr lang="en-IN" sz="1050" b="0" i="1" baseline="0">
              <a:effectLst/>
              <a:latin typeface="+mn-lt"/>
              <a:ea typeface="+mn-ea"/>
              <a:cs typeface="+mn-cs"/>
            </a:rPr>
            <a:t>(Marks 6)</a:t>
          </a:r>
        </a:p>
        <a:p>
          <a:pPr marL="0" marR="0" lvl="0" indent="0" defTabSz="914400" eaLnBrk="1" fontAlgn="auto" latinLnBrk="0" hangingPunct="1">
            <a:lnSpc>
              <a:spcPct val="100000"/>
            </a:lnSpc>
            <a:spcBef>
              <a:spcPts val="0"/>
            </a:spcBef>
            <a:spcAft>
              <a:spcPts val="0"/>
            </a:spcAft>
            <a:buClrTx/>
            <a:buSzTx/>
            <a:buFontTx/>
            <a:buNone/>
            <a:tabLst/>
            <a:defRPr/>
          </a:pPr>
          <a:r>
            <a:rPr lang="en-IN" sz="1050" b="0" i="0" baseline="0">
              <a:effectLst/>
              <a:latin typeface="+mn-lt"/>
              <a:ea typeface="+mn-ea"/>
              <a:cs typeface="+mn-cs"/>
            </a:rPr>
            <a:t>3. Analyse the Cash Flow Statement (See Tab: Source&gt;&gt;CFS)	</a:t>
          </a:r>
          <a:r>
            <a:rPr lang="en-IN" sz="1050" b="0" i="1" baseline="0">
              <a:effectLst/>
              <a:latin typeface="+mn-lt"/>
              <a:ea typeface="+mn-ea"/>
              <a:cs typeface="+mn-cs"/>
            </a:rPr>
            <a:t>(Marks 3)</a:t>
          </a:r>
        </a:p>
        <a:p>
          <a:pPr marL="0" marR="0" lvl="0" indent="0" defTabSz="914400" eaLnBrk="1" fontAlgn="auto" latinLnBrk="0" hangingPunct="1">
            <a:lnSpc>
              <a:spcPct val="100000"/>
            </a:lnSpc>
            <a:spcBef>
              <a:spcPts val="0"/>
            </a:spcBef>
            <a:spcAft>
              <a:spcPts val="0"/>
            </a:spcAft>
            <a:buClrTx/>
            <a:buSzTx/>
            <a:buFontTx/>
            <a:buNone/>
            <a:tabLst/>
            <a:defRPr/>
          </a:pPr>
          <a:r>
            <a:rPr lang="en-IN" sz="1050" b="0" i="0" baseline="0">
              <a:effectLst/>
              <a:latin typeface="+mn-lt"/>
              <a:ea typeface="+mn-ea"/>
              <a:cs typeface="+mn-cs"/>
            </a:rPr>
            <a:t>4. Provide interpretation on the Health of the company by Interpreting Income Statement, Balance Sheet and Cash Flow Statement 								(Marks 5)</a:t>
          </a:r>
          <a:r>
            <a:rPr lang="en-US" sz="1050" b="1" i="1">
              <a:effectLst/>
              <a:latin typeface="+mn-lt"/>
              <a:ea typeface="+mn-ea"/>
              <a:cs typeface="+mn-cs"/>
            </a:rPr>
            <a:t>								(6+6+3+5=20</a:t>
          </a:r>
          <a:r>
            <a:rPr lang="en-US" sz="1050" b="1" i="1" baseline="0">
              <a:effectLst/>
              <a:latin typeface="+mn-lt"/>
              <a:ea typeface="+mn-ea"/>
              <a:cs typeface="+mn-cs"/>
            </a:rPr>
            <a:t> Marks)</a:t>
          </a:r>
          <a:endParaRPr lang="en-IN" sz="1050" b="0" i="0">
            <a:effectLst/>
            <a:latin typeface="+mn-lt"/>
            <a:ea typeface="+mn-ea"/>
            <a:cs typeface="+mn-cs"/>
          </a:endParaRPr>
        </a:p>
        <a:p>
          <a:endParaRPr lang="en-US" sz="1200" b="1" i="1">
            <a:solidFill>
              <a:srgbClr val="000000"/>
            </a:solidFill>
            <a:latin typeface="+mn-lt"/>
            <a:ea typeface="+mn-ea"/>
            <a:cs typeface="+mn-cs"/>
            <a:sym typeface="Calibri"/>
          </a:endParaRPr>
        </a:p>
        <a:p>
          <a:pPr marL="0" lvl="0" indent="0" algn="l" rtl="0">
            <a:spcBef>
              <a:spcPts val="0"/>
            </a:spcBef>
            <a:spcAft>
              <a:spcPts val="0"/>
            </a:spcAft>
            <a:buClr>
              <a:srgbClr val="000000"/>
            </a:buClr>
            <a:buSzPts val="1400"/>
            <a:buFont typeface="Calibri"/>
            <a:buNone/>
          </a:pPr>
          <a:endParaRPr lang="en-US" sz="1200" b="1" i="1">
            <a:solidFill>
              <a:srgbClr val="000000"/>
            </a:solidFill>
            <a:latin typeface="+mn-lt"/>
            <a:ea typeface="+mn-ea"/>
            <a:cs typeface="+mn-cs"/>
            <a:sym typeface="Calibri"/>
          </a:endParaRPr>
        </a:p>
        <a:p>
          <a:pPr marL="0" lvl="0" indent="0" algn="l" rtl="0">
            <a:spcBef>
              <a:spcPts val="0"/>
            </a:spcBef>
            <a:spcAft>
              <a:spcPts val="0"/>
            </a:spcAft>
            <a:buClr>
              <a:srgbClr val="000000"/>
            </a:buClr>
            <a:buSzPts val="1400"/>
            <a:buFont typeface="Calibri"/>
            <a:buNone/>
          </a:pPr>
          <a:endParaRPr lang="en-US" sz="1200" b="1" i="1">
            <a:solidFill>
              <a:srgbClr val="000000"/>
            </a:solidFill>
            <a:latin typeface="+mn-lt"/>
            <a:ea typeface="+mn-ea"/>
            <a:cs typeface="+mn-cs"/>
            <a:sym typeface="Calibri"/>
          </a:endParaRPr>
        </a:p>
        <a:p>
          <a:pPr marL="0" lvl="0" indent="0" algn="l" rtl="0">
            <a:spcBef>
              <a:spcPts val="0"/>
            </a:spcBef>
            <a:spcAft>
              <a:spcPts val="0"/>
            </a:spcAft>
            <a:buClr>
              <a:srgbClr val="000000"/>
            </a:buClr>
            <a:buSzPts val="1400"/>
            <a:buFont typeface="Calibri"/>
            <a:buNone/>
          </a:pPr>
          <a:endParaRPr lang="en-US" sz="1200" b="1" i="1">
            <a:solidFill>
              <a:srgbClr val="000000"/>
            </a:solidFill>
            <a:latin typeface="+mn-lt"/>
            <a:ea typeface="+mn-ea"/>
            <a:cs typeface="+mn-cs"/>
            <a:sym typeface="Calibri"/>
          </a:endParaRPr>
        </a:p>
        <a:p>
          <a:pPr marL="0" lvl="0" indent="0" algn="l" rtl="0">
            <a:spcBef>
              <a:spcPts val="0"/>
            </a:spcBef>
            <a:spcAft>
              <a:spcPts val="0"/>
            </a:spcAft>
            <a:buClr>
              <a:srgbClr val="000000"/>
            </a:buClr>
            <a:buSzPts val="1400"/>
            <a:buFont typeface="Calibri"/>
            <a:buNone/>
          </a:pPr>
          <a:endParaRPr lang="en-US" sz="1200" b="1" i="1">
            <a:solidFill>
              <a:srgbClr val="000000"/>
            </a:solidFill>
            <a:latin typeface="+mn-lt"/>
            <a:ea typeface="+mn-ea"/>
            <a:cs typeface="+mn-cs"/>
            <a:sym typeface="Calibri"/>
          </a:endParaRPr>
        </a:p>
        <a:p>
          <a:pPr marL="0" lvl="0" indent="0" algn="l" rtl="0">
            <a:spcBef>
              <a:spcPts val="0"/>
            </a:spcBef>
            <a:spcAft>
              <a:spcPts val="0"/>
            </a:spcAft>
            <a:buClr>
              <a:srgbClr val="000000"/>
            </a:buClr>
            <a:buSzPts val="1400"/>
            <a:buFont typeface="Calibri"/>
            <a:buNone/>
          </a:pPr>
          <a:endParaRPr lang="en-US" sz="1200" b="1" i="1">
            <a:solidFill>
              <a:srgbClr val="000000"/>
            </a:solidFill>
            <a:latin typeface="+mn-lt"/>
            <a:ea typeface="+mn-ea"/>
            <a:cs typeface="+mn-cs"/>
            <a:sym typeface="Calibri"/>
          </a:endParaRPr>
        </a:p>
        <a:p>
          <a:pPr marL="0" lvl="0" indent="0" algn="l" rtl="0">
            <a:spcBef>
              <a:spcPts val="0"/>
            </a:spcBef>
            <a:spcAft>
              <a:spcPts val="0"/>
            </a:spcAft>
            <a:buClr>
              <a:srgbClr val="000000"/>
            </a:buClr>
            <a:buSzPts val="1400"/>
            <a:buFont typeface="Calibri"/>
            <a:buNone/>
          </a:pPr>
          <a:endParaRPr lang="en-US" sz="1200" b="1" i="1">
            <a:solidFill>
              <a:srgbClr val="000000"/>
            </a:solidFill>
            <a:latin typeface="+mn-lt"/>
            <a:ea typeface="+mn-ea"/>
            <a:cs typeface="+mn-cs"/>
            <a:sym typeface="Calibri"/>
          </a:endParaRPr>
        </a:p>
        <a:p>
          <a:pPr marL="0" lvl="0" indent="0" algn="l" rtl="0">
            <a:spcBef>
              <a:spcPts val="0"/>
            </a:spcBef>
            <a:spcAft>
              <a:spcPts val="0"/>
            </a:spcAft>
            <a:buClr>
              <a:srgbClr val="000000"/>
            </a:buClr>
            <a:buSzPts val="1400"/>
            <a:buFont typeface="Calibri"/>
            <a:buNone/>
          </a:pPr>
          <a:endParaRPr lang="en-US" sz="1200" b="1" i="1">
            <a:solidFill>
              <a:srgbClr val="000000"/>
            </a:solidFill>
            <a:latin typeface="+mn-lt"/>
            <a:ea typeface="+mn-ea"/>
            <a:cs typeface="+mn-cs"/>
            <a:sym typeface="Calibri"/>
          </a:endParaRPr>
        </a:p>
        <a:p>
          <a:pPr marL="0" lvl="0" indent="0" algn="l" rtl="0">
            <a:spcBef>
              <a:spcPts val="0"/>
            </a:spcBef>
            <a:spcAft>
              <a:spcPts val="0"/>
            </a:spcAft>
            <a:buClr>
              <a:srgbClr val="000000"/>
            </a:buClr>
            <a:buSzPts val="1400"/>
            <a:buFont typeface="Calibri"/>
            <a:buNone/>
          </a:pPr>
          <a:endParaRPr lang="en-US" sz="1200" b="1" i="1">
            <a:solidFill>
              <a:srgbClr val="000000"/>
            </a:solidFill>
            <a:latin typeface="+mn-lt"/>
            <a:ea typeface="+mn-ea"/>
            <a:cs typeface="+mn-cs"/>
            <a:sym typeface="Calibri"/>
          </a:endParaRPr>
        </a:p>
        <a:p>
          <a:pPr marL="0" lvl="0" indent="0" algn="l" rtl="0">
            <a:spcBef>
              <a:spcPts val="0"/>
            </a:spcBef>
            <a:spcAft>
              <a:spcPts val="0"/>
            </a:spcAft>
            <a:buClr>
              <a:srgbClr val="000000"/>
            </a:buClr>
            <a:buSzPts val="1400"/>
            <a:buFont typeface="Calibri"/>
            <a:buNone/>
          </a:pPr>
          <a:endParaRPr lang="en-US" sz="1200" b="1" i="1">
            <a:solidFill>
              <a:srgbClr val="000000"/>
            </a:solidFill>
            <a:latin typeface="+mn-lt"/>
            <a:ea typeface="+mn-ea"/>
            <a:cs typeface="+mn-cs"/>
            <a:sym typeface="Calibri"/>
          </a:endParaRPr>
        </a:p>
        <a:p>
          <a:pPr marL="0" lvl="0" indent="0" algn="l" rtl="0">
            <a:spcBef>
              <a:spcPts val="0"/>
            </a:spcBef>
            <a:spcAft>
              <a:spcPts val="0"/>
            </a:spcAft>
            <a:buClr>
              <a:srgbClr val="000000"/>
            </a:buClr>
            <a:buSzPts val="1400"/>
            <a:buFont typeface="Calibri"/>
            <a:buNone/>
          </a:pPr>
          <a:endParaRPr lang="en-US" sz="1200" b="1" i="1">
            <a:solidFill>
              <a:srgbClr val="000000"/>
            </a:solidFill>
            <a:latin typeface="+mn-lt"/>
            <a:ea typeface="+mn-ea"/>
            <a:cs typeface="+mn-cs"/>
            <a:sym typeface="Calibri"/>
          </a:endParaRPr>
        </a:p>
        <a:p>
          <a:pPr marL="0" lvl="0" indent="0" algn="l" rtl="0">
            <a:spcBef>
              <a:spcPts val="0"/>
            </a:spcBef>
            <a:spcAft>
              <a:spcPts val="0"/>
            </a:spcAft>
            <a:buClr>
              <a:srgbClr val="000000"/>
            </a:buClr>
            <a:buSzPts val="1400"/>
            <a:buFont typeface="Calibri"/>
            <a:buNone/>
          </a:pPr>
          <a:endParaRPr lang="en-US" sz="1200" b="1" i="1">
            <a:solidFill>
              <a:srgbClr val="000000"/>
            </a:solidFill>
            <a:latin typeface="Calibri"/>
            <a:ea typeface="Calibri"/>
            <a:cs typeface="Calibri"/>
            <a:sym typeface="Calibri"/>
          </a:endParaRPr>
        </a:p>
        <a:p>
          <a:pPr marL="0" lvl="0" indent="0" algn="l" rtl="0">
            <a:spcBef>
              <a:spcPts val="0"/>
            </a:spcBef>
            <a:spcAft>
              <a:spcPts val="0"/>
            </a:spcAft>
            <a:buClr>
              <a:srgbClr val="000000"/>
            </a:buClr>
            <a:buSzPts val="1400"/>
            <a:buFont typeface="Calibri"/>
            <a:buNone/>
          </a:pPr>
          <a:endParaRPr lang="en-US" sz="1200" b="1" i="1">
            <a:solidFill>
              <a:srgbClr val="000000"/>
            </a:solidFill>
            <a:latin typeface="Calibri"/>
            <a:ea typeface="Calibri"/>
            <a:cs typeface="Calibri"/>
            <a:sym typeface="Calibri"/>
          </a:endParaRPr>
        </a:p>
        <a:p>
          <a:pPr marL="0" lvl="0" indent="0" algn="l" rtl="0">
            <a:spcBef>
              <a:spcPts val="0"/>
            </a:spcBef>
            <a:spcAft>
              <a:spcPts val="0"/>
            </a:spcAft>
            <a:buClr>
              <a:srgbClr val="000000"/>
            </a:buClr>
            <a:buSzPts val="1400"/>
            <a:buFont typeface="Calibri"/>
            <a:buNone/>
          </a:pPr>
          <a:endParaRPr lang="en-US" sz="1200" b="1" i="1">
            <a:solidFill>
              <a:srgbClr val="000000"/>
            </a:solidFill>
            <a:latin typeface="Calibri"/>
            <a:ea typeface="Calibri"/>
            <a:cs typeface="Calibri"/>
            <a:sym typeface="Calibri"/>
          </a:endParaRPr>
        </a:p>
        <a:p>
          <a:pPr marL="0" lvl="0" indent="0" algn="l" rtl="0">
            <a:spcBef>
              <a:spcPts val="0"/>
            </a:spcBef>
            <a:spcAft>
              <a:spcPts val="0"/>
            </a:spcAft>
            <a:buClr>
              <a:srgbClr val="000000"/>
            </a:buClr>
            <a:buSzPts val="1400"/>
            <a:buFont typeface="Calibri"/>
            <a:buNone/>
          </a:pPr>
          <a:endParaRPr lang="en-US" sz="1200" b="1" i="1">
            <a:solidFill>
              <a:srgbClr val="000000"/>
            </a:solidFill>
            <a:latin typeface="Calibri"/>
            <a:ea typeface="Calibri"/>
            <a:cs typeface="Calibri"/>
            <a:sym typeface="Calibri"/>
          </a:endParaRPr>
        </a:p>
        <a:p>
          <a:pPr marL="0" lvl="0" indent="0" algn="l" rtl="0">
            <a:spcBef>
              <a:spcPts val="0"/>
            </a:spcBef>
            <a:spcAft>
              <a:spcPts val="0"/>
            </a:spcAft>
            <a:buClr>
              <a:srgbClr val="000000"/>
            </a:buClr>
            <a:buSzPts val="1400"/>
            <a:buFont typeface="Calibri"/>
            <a:buNone/>
          </a:pPr>
          <a:endParaRPr lang="en-US" sz="1200" b="1" i="1">
            <a:solidFill>
              <a:srgbClr val="000000"/>
            </a:solidFill>
            <a:latin typeface="Calibri"/>
            <a:ea typeface="Calibri"/>
            <a:cs typeface="Calibri"/>
            <a:sym typeface="Calibri"/>
          </a:endParaRPr>
        </a:p>
        <a:p>
          <a:pPr marL="0" lvl="0" indent="0" algn="l" rtl="0">
            <a:spcBef>
              <a:spcPts val="0"/>
            </a:spcBef>
            <a:spcAft>
              <a:spcPts val="0"/>
            </a:spcAft>
            <a:buClr>
              <a:srgbClr val="000000"/>
            </a:buClr>
            <a:buSzPts val="1400"/>
            <a:buFont typeface="Calibri"/>
            <a:buNone/>
          </a:pPr>
          <a:endParaRPr lang="en-US" sz="1200" b="1" i="1">
            <a:solidFill>
              <a:srgbClr val="000000"/>
            </a:solidFill>
            <a:latin typeface="Calibri"/>
            <a:ea typeface="Calibri"/>
            <a:cs typeface="Calibri"/>
            <a:sym typeface="Calibri"/>
          </a:endParaRPr>
        </a:p>
        <a:p>
          <a:pPr marL="0" lvl="0" indent="0" algn="l" rtl="0">
            <a:spcBef>
              <a:spcPts val="0"/>
            </a:spcBef>
            <a:spcAft>
              <a:spcPts val="0"/>
            </a:spcAft>
            <a:buClr>
              <a:srgbClr val="000000"/>
            </a:buClr>
            <a:buSzPts val="1400"/>
            <a:buFont typeface="Calibri"/>
            <a:buNone/>
          </a:pPr>
          <a:r>
            <a:rPr lang="en-US" sz="1200" b="1" i="1">
              <a:solidFill>
                <a:srgbClr val="000000"/>
              </a:solidFill>
              <a:latin typeface="Calibri"/>
              <a:ea typeface="Calibri"/>
              <a:cs typeface="Calibri"/>
              <a:sym typeface="Calibri"/>
            </a:rPr>
            <a:t>	</a:t>
          </a:r>
          <a:endParaRPr sz="1200"/>
        </a:p>
        <a:p>
          <a:pPr marL="0" lvl="0" indent="0" algn="l" rtl="0">
            <a:spcBef>
              <a:spcPts val="0"/>
            </a:spcBef>
            <a:spcAft>
              <a:spcPts val="0"/>
            </a:spcAft>
            <a:buClr>
              <a:srgbClr val="000000"/>
            </a:buClr>
            <a:buSzPts val="1400"/>
            <a:buFont typeface="Times New Roman"/>
            <a:buNone/>
          </a:pPr>
          <a:r>
            <a:rPr lang="en-US" sz="1200" b="1">
              <a:solidFill>
                <a:srgbClr val="000000"/>
              </a:solidFill>
              <a:latin typeface="Times New Roman"/>
              <a:ea typeface="Times New Roman"/>
              <a:cs typeface="Times New Roman"/>
              <a:sym typeface="Times New Roman"/>
            </a:rPr>
            <a:t>		</a:t>
          </a:r>
          <a:endParaRPr sz="1200">
            <a:solidFill>
              <a:srgbClr val="000000"/>
            </a:solidFill>
            <a:latin typeface="Times New Roman"/>
            <a:ea typeface="Times New Roman"/>
            <a:cs typeface="Times New Roman"/>
            <a:sym typeface="Times New Roman"/>
          </a:endParaRPr>
        </a:p>
        <a:p>
          <a:pPr marL="0" marR="0" lvl="0" indent="0" algn="l" rtl="0">
            <a:lnSpc>
              <a:spcPct val="100000"/>
            </a:lnSpc>
            <a:spcBef>
              <a:spcPts val="0"/>
            </a:spcBef>
            <a:spcAft>
              <a:spcPts val="0"/>
            </a:spcAft>
            <a:buClr>
              <a:srgbClr val="000000"/>
            </a:buClr>
            <a:buSzPts val="1400"/>
            <a:buFont typeface="Times New Roman"/>
            <a:buNone/>
          </a:pPr>
          <a:r>
            <a:rPr lang="en-US" sz="1200" b="1">
              <a:solidFill>
                <a:srgbClr val="000000"/>
              </a:solidFill>
              <a:latin typeface="Times New Roman"/>
              <a:ea typeface="Times New Roman"/>
              <a:cs typeface="Times New Roman"/>
              <a:sym typeface="Times New Roman"/>
            </a:rPr>
            <a:t>																							</a:t>
          </a:r>
          <a:endParaRPr sz="1100">
            <a:solidFill>
              <a:srgbClr val="000000"/>
            </a:solidFill>
            <a:latin typeface="Calibri"/>
            <a:ea typeface="Calibri"/>
            <a:cs typeface="Calibri"/>
            <a:sym typeface="Calibri"/>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8C41886-A085-4596-98B4-A7837AB902CD}">
  <we:reference id="wa104099688" version="1.7.0.0" store="en-US" storeType="OMEX"/>
  <we:alternateReferences>
    <we:reference id="wa104099688" version="1.7.0.0"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view="pageBreakPreview" topLeftCell="A9" zoomScale="83" zoomScaleNormal="100" workbookViewId="0">
      <selection activeCell="C37" sqref="C37"/>
    </sheetView>
  </sheetViews>
  <sheetFormatPr defaultColWidth="12.59765625" defaultRowHeight="15" customHeight="1" x14ac:dyDescent="0.3"/>
  <cols>
    <col min="1" max="1" width="17.59765625" style="3" customWidth="1"/>
    <col min="2" max="2" width="7.59765625" style="3" customWidth="1"/>
    <col min="3" max="3" width="12.3984375" style="3" customWidth="1"/>
    <col min="4" max="4" width="19.3984375" style="3" customWidth="1"/>
    <col min="5" max="5" width="35.69921875" style="3" customWidth="1"/>
    <col min="6" max="6" width="12.19921875" style="3" customWidth="1"/>
    <col min="7" max="8" width="7.59765625" style="3" customWidth="1"/>
    <col min="9" max="16384" width="12.59765625" style="3"/>
  </cols>
  <sheetData>
    <row r="1" spans="1:8" ht="15" customHeight="1" x14ac:dyDescent="0.3">
      <c r="B1" s="63" t="s">
        <v>117</v>
      </c>
      <c r="C1" s="63"/>
      <c r="D1" s="63"/>
      <c r="E1" s="63"/>
    </row>
    <row r="2" spans="1:8" ht="15" customHeight="1" x14ac:dyDescent="0.3">
      <c r="B2" s="63" t="s">
        <v>118</v>
      </c>
      <c r="C2" s="63"/>
      <c r="D2" s="63"/>
      <c r="E2" s="63"/>
    </row>
    <row r="3" spans="1:8" ht="15" customHeight="1" x14ac:dyDescent="0.3">
      <c r="B3" s="63" t="s">
        <v>119</v>
      </c>
      <c r="C3" s="63"/>
      <c r="D3" s="63"/>
      <c r="E3" s="63"/>
    </row>
    <row r="4" spans="1:8" ht="15" customHeight="1" x14ac:dyDescent="0.3">
      <c r="B4" s="63" t="s">
        <v>120</v>
      </c>
      <c r="C4" s="63"/>
      <c r="D4" s="63"/>
      <c r="E4" s="63"/>
    </row>
    <row r="5" spans="1:8" ht="15" customHeight="1" x14ac:dyDescent="0.3">
      <c r="B5" s="63" t="s">
        <v>121</v>
      </c>
      <c r="C5" s="63"/>
      <c r="D5" s="63"/>
      <c r="E5" s="63"/>
    </row>
    <row r="8" spans="1:8" ht="15" customHeight="1" x14ac:dyDescent="0.3">
      <c r="A8" s="5" t="s">
        <v>94</v>
      </c>
    </row>
    <row r="9" spans="1:8" ht="15" customHeight="1" x14ac:dyDescent="0.3">
      <c r="A9" s="5" t="s">
        <v>87</v>
      </c>
    </row>
    <row r="10" spans="1:8" ht="15.6" x14ac:dyDescent="0.3">
      <c r="A10" s="6" t="s">
        <v>0</v>
      </c>
      <c r="B10" s="6" t="s">
        <v>86</v>
      </c>
      <c r="C10" s="6"/>
      <c r="D10" s="6"/>
      <c r="E10" s="6"/>
      <c r="F10" s="6"/>
      <c r="G10" s="7"/>
      <c r="H10" s="7"/>
    </row>
    <row r="11" spans="1:8" ht="15.6" x14ac:dyDescent="0.3">
      <c r="A11" s="7"/>
      <c r="B11" s="7"/>
      <c r="C11" s="7"/>
      <c r="D11" s="7"/>
      <c r="E11" s="7"/>
      <c r="F11" s="7"/>
      <c r="G11" s="7"/>
      <c r="H11" s="7"/>
    </row>
    <row r="12" spans="1:8" ht="15.6" x14ac:dyDescent="0.3">
      <c r="A12" s="8" t="s">
        <v>1</v>
      </c>
      <c r="B12" s="7"/>
      <c r="C12" s="7"/>
      <c r="D12" s="7"/>
      <c r="E12" s="7"/>
      <c r="F12" s="7"/>
      <c r="G12" s="7"/>
      <c r="H12" s="7"/>
    </row>
    <row r="13" spans="1:8" ht="15.6" x14ac:dyDescent="0.3">
      <c r="A13" s="8" t="s">
        <v>2</v>
      </c>
      <c r="B13" s="7"/>
      <c r="C13" s="7"/>
      <c r="D13" s="7"/>
      <c r="E13" s="7"/>
      <c r="F13" s="7"/>
      <c r="G13" s="7"/>
      <c r="H13" s="7"/>
    </row>
    <row r="14" spans="1:8" ht="15.6" x14ac:dyDescent="0.3">
      <c r="A14" s="9" t="s">
        <v>3</v>
      </c>
      <c r="B14" s="7"/>
      <c r="C14" s="7"/>
      <c r="D14" s="7"/>
      <c r="E14" s="7"/>
      <c r="F14" s="7"/>
      <c r="G14" s="7"/>
      <c r="H14" s="7"/>
    </row>
    <row r="15" spans="1:8" ht="15.6" x14ac:dyDescent="0.3">
      <c r="A15" s="10" t="s">
        <v>88</v>
      </c>
      <c r="B15" s="11"/>
      <c r="C15" s="11"/>
      <c r="D15" s="11"/>
      <c r="E15" s="11"/>
      <c r="F15" s="11"/>
      <c r="G15" s="11"/>
      <c r="H15" s="11"/>
    </row>
    <row r="16" spans="1:8" ht="16.2" x14ac:dyDescent="0.3">
      <c r="A16" s="10" t="s">
        <v>95</v>
      </c>
      <c r="B16" s="11"/>
      <c r="C16" s="11"/>
      <c r="D16" s="11"/>
      <c r="E16" s="11"/>
      <c r="F16" s="11"/>
      <c r="G16" s="11"/>
      <c r="H16" s="11"/>
    </row>
    <row r="17" spans="1:8" ht="15.6" x14ac:dyDescent="0.3">
      <c r="A17" s="10" t="s">
        <v>89</v>
      </c>
      <c r="B17" s="11"/>
      <c r="C17" s="11"/>
      <c r="D17" s="11"/>
      <c r="E17" s="11"/>
      <c r="F17" s="11"/>
      <c r="G17" s="11"/>
      <c r="H17" s="11"/>
    </row>
    <row r="18" spans="1:8" ht="15.6" x14ac:dyDescent="0.3">
      <c r="A18" s="12" t="s">
        <v>90</v>
      </c>
      <c r="B18" s="11"/>
      <c r="C18" s="11"/>
      <c r="D18" s="11"/>
      <c r="E18" s="11"/>
      <c r="F18" s="11"/>
      <c r="G18" s="11"/>
      <c r="H18" s="11"/>
    </row>
    <row r="19" spans="1:8" ht="15.6" x14ac:dyDescent="0.3">
      <c r="A19" s="10" t="s">
        <v>91</v>
      </c>
      <c r="B19" s="11"/>
      <c r="C19" s="11"/>
      <c r="D19" s="11"/>
      <c r="E19" s="13"/>
      <c r="F19" s="13"/>
      <c r="G19" s="13"/>
      <c r="H19" s="13"/>
    </row>
    <row r="20" spans="1:8" ht="15.6" x14ac:dyDescent="0.3">
      <c r="A20" s="10" t="s">
        <v>92</v>
      </c>
      <c r="B20" s="11"/>
      <c r="C20" s="13"/>
      <c r="D20" s="13"/>
      <c r="E20" s="13"/>
      <c r="F20" s="13"/>
      <c r="G20" s="13"/>
      <c r="H20" s="13"/>
    </row>
    <row r="21" spans="1:8" ht="15.6" x14ac:dyDescent="0.3">
      <c r="A21" s="10" t="s">
        <v>93</v>
      </c>
      <c r="B21" s="11"/>
      <c r="C21" s="13"/>
      <c r="D21" s="13"/>
      <c r="E21" s="13"/>
      <c r="F21" s="13"/>
      <c r="G21" s="13"/>
      <c r="H21" s="13"/>
    </row>
    <row r="22" spans="1:8" ht="19.5" customHeight="1" x14ac:dyDescent="0.3">
      <c r="A22" s="7"/>
      <c r="B22" s="14" t="s">
        <v>4</v>
      </c>
      <c r="C22" s="14" t="s">
        <v>84</v>
      </c>
      <c r="D22" s="15" t="s">
        <v>15</v>
      </c>
      <c r="E22" s="16" t="s">
        <v>20</v>
      </c>
      <c r="F22" s="7"/>
      <c r="G22" s="7"/>
      <c r="H22" s="7"/>
    </row>
    <row r="23" spans="1:8" ht="19.5" customHeight="1" x14ac:dyDescent="0.3">
      <c r="A23" s="7"/>
      <c r="B23" s="17" t="s">
        <v>6</v>
      </c>
      <c r="C23" s="17" t="s">
        <v>7</v>
      </c>
      <c r="D23" s="13"/>
      <c r="E23" s="18"/>
      <c r="F23" s="7"/>
      <c r="G23" s="7"/>
      <c r="H23" s="7"/>
    </row>
    <row r="24" spans="1:8" ht="15.6" x14ac:dyDescent="0.3">
      <c r="A24" s="7"/>
      <c r="B24" s="17" t="s">
        <v>8</v>
      </c>
      <c r="C24" s="17" t="s">
        <v>7</v>
      </c>
      <c r="D24" s="13"/>
      <c r="E24" s="19"/>
      <c r="F24" s="7"/>
      <c r="G24" s="7"/>
      <c r="H24" s="7"/>
    </row>
    <row r="25" spans="1:8" ht="15.6" x14ac:dyDescent="0.3">
      <c r="A25" s="7"/>
      <c r="B25" s="14" t="s">
        <v>9</v>
      </c>
      <c r="C25" s="14" t="s">
        <v>5</v>
      </c>
      <c r="D25" s="20"/>
      <c r="E25" s="21"/>
      <c r="F25" s="7"/>
      <c r="G25" s="7"/>
      <c r="H25" s="7"/>
    </row>
    <row r="26" spans="1:8" ht="15.6" x14ac:dyDescent="0.3">
      <c r="A26" s="7"/>
      <c r="B26" s="17" t="s">
        <v>96</v>
      </c>
      <c r="C26" s="17" t="s">
        <v>100</v>
      </c>
      <c r="D26" s="13"/>
      <c r="E26" s="19"/>
      <c r="F26" s="7"/>
      <c r="G26" s="7"/>
      <c r="H26" s="7"/>
    </row>
    <row r="27" spans="1:8" ht="15.6" x14ac:dyDescent="0.3">
      <c r="A27" s="7"/>
      <c r="B27" s="14" t="s">
        <v>11</v>
      </c>
      <c r="C27" s="14" t="s">
        <v>85</v>
      </c>
      <c r="D27" s="20"/>
      <c r="E27" s="21"/>
      <c r="F27" s="7"/>
      <c r="G27" s="7"/>
      <c r="H27" s="7"/>
    </row>
    <row r="28" spans="1:8" ht="15.6" x14ac:dyDescent="0.3">
      <c r="A28" s="7"/>
      <c r="B28" s="17" t="s">
        <v>10</v>
      </c>
      <c r="C28" s="17" t="s">
        <v>99</v>
      </c>
      <c r="D28" s="13"/>
      <c r="E28" s="19"/>
      <c r="F28" s="7"/>
      <c r="G28" s="7"/>
      <c r="H28" s="7"/>
    </row>
    <row r="29" spans="1:8" ht="15.6" x14ac:dyDescent="0.3">
      <c r="A29" s="7"/>
      <c r="B29" s="7"/>
      <c r="C29" s="7"/>
      <c r="D29" s="22">
        <f>SUM(D23:D28)</f>
        <v>0</v>
      </c>
      <c r="E29" s="7"/>
      <c r="F29" s="7"/>
      <c r="G29" s="7"/>
      <c r="H29" s="7"/>
    </row>
    <row r="30" spans="1:8" ht="15.75" customHeight="1" x14ac:dyDescent="0.3">
      <c r="A30" s="7"/>
      <c r="B30" s="7"/>
      <c r="C30" s="7"/>
      <c r="D30" s="7"/>
      <c r="E30" s="7"/>
      <c r="F30" s="7"/>
      <c r="G30" s="7"/>
      <c r="H30" s="7"/>
    </row>
    <row r="31" spans="1:8" ht="15.75" customHeight="1" x14ac:dyDescent="0.3">
      <c r="A31" s="7"/>
      <c r="B31" s="7"/>
      <c r="C31" s="7"/>
      <c r="D31" s="7"/>
      <c r="E31" s="7"/>
      <c r="F31" s="7"/>
      <c r="G31" s="7"/>
      <c r="H31" s="7"/>
    </row>
    <row r="32" spans="1:8" ht="15.75" customHeight="1" x14ac:dyDescent="0.3">
      <c r="A32" s="7"/>
      <c r="B32" s="7"/>
      <c r="C32" s="7"/>
      <c r="D32" s="7"/>
      <c r="E32" s="7"/>
      <c r="F32" s="7"/>
      <c r="G32" s="7"/>
      <c r="H32" s="7"/>
    </row>
    <row r="33" spans="1:8" ht="15.75" customHeight="1" x14ac:dyDescent="0.3">
      <c r="A33" s="7"/>
      <c r="B33" s="7"/>
      <c r="C33" s="7"/>
      <c r="D33" s="7"/>
      <c r="E33" s="7"/>
      <c r="F33" s="7"/>
      <c r="G33" s="7"/>
      <c r="H33" s="7"/>
    </row>
  </sheetData>
  <mergeCells count="5">
    <mergeCell ref="B1:E1"/>
    <mergeCell ref="B2:E2"/>
    <mergeCell ref="B3:E3"/>
    <mergeCell ref="B4:E4"/>
    <mergeCell ref="B5:E5"/>
  </mergeCells>
  <pageMargins left="0.7" right="0.7" top="0.75" bottom="0.75" header="0" footer="0"/>
  <pageSetup scale="9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X951"/>
  <sheetViews>
    <sheetView zoomScale="65" workbookViewId="0">
      <selection activeCell="R23" sqref="R23"/>
    </sheetView>
  </sheetViews>
  <sheetFormatPr defaultColWidth="12.59765625" defaultRowHeight="15" customHeight="1" x14ac:dyDescent="0.25"/>
  <cols>
    <col min="1" max="14" width="7.59765625" customWidth="1"/>
    <col min="17" max="17" width="8.296875" bestFit="1" customWidth="1"/>
    <col min="18" max="18" width="31.19921875" bestFit="1" customWidth="1"/>
    <col min="19" max="19" width="20.69921875" bestFit="1" customWidth="1"/>
    <col min="20" max="20" width="14.69921875" bestFit="1" customWidth="1"/>
    <col min="21" max="21" width="10.296875" bestFit="1" customWidth="1"/>
    <col min="22" max="22" width="20.09765625" bestFit="1" customWidth="1"/>
    <col min="23" max="23" width="13.796875" bestFit="1" customWidth="1"/>
    <col min="24" max="24" width="12.69921875" bestFit="1" customWidth="1"/>
  </cols>
  <sheetData>
    <row r="2" spans="16:24" ht="15" customHeight="1" x14ac:dyDescent="0.25">
      <c r="Q2" s="49" t="s">
        <v>6</v>
      </c>
    </row>
    <row r="3" spans="16:24" ht="15" customHeight="1" x14ac:dyDescent="0.25">
      <c r="P3" s="49"/>
      <c r="Q3" s="49" t="s">
        <v>166</v>
      </c>
    </row>
    <row r="4" spans="16:24" ht="15" customHeight="1" x14ac:dyDescent="0.25">
      <c r="P4" s="49"/>
      <c r="Q4" s="2">
        <v>1</v>
      </c>
      <c r="R4" s="49" t="s">
        <v>161</v>
      </c>
    </row>
    <row r="5" spans="16:24" ht="15" customHeight="1" x14ac:dyDescent="0.25">
      <c r="Q5" s="49"/>
    </row>
    <row r="6" spans="16:24" ht="15" customHeight="1" x14ac:dyDescent="0.25">
      <c r="Q6" s="49">
        <v>2</v>
      </c>
      <c r="R6" s="49" t="s">
        <v>162</v>
      </c>
    </row>
    <row r="8" spans="16:24" ht="15" customHeight="1" x14ac:dyDescent="0.25">
      <c r="Q8" s="2">
        <v>3</v>
      </c>
      <c r="R8" s="49" t="s">
        <v>163</v>
      </c>
    </row>
    <row r="9" spans="16:24" ht="15" customHeight="1" x14ac:dyDescent="0.25">
      <c r="Q9" s="49"/>
    </row>
    <row r="10" spans="16:24" ht="15" customHeight="1" x14ac:dyDescent="0.25">
      <c r="Q10" s="49">
        <v>4</v>
      </c>
      <c r="R10" s="49" t="s">
        <v>164</v>
      </c>
    </row>
    <row r="12" spans="16:24" ht="15" customHeight="1" x14ac:dyDescent="0.25">
      <c r="Q12" s="2"/>
      <c r="R12" s="64" t="s">
        <v>181</v>
      </c>
      <c r="S12" s="64"/>
      <c r="T12" s="64"/>
      <c r="U12" s="64"/>
      <c r="V12" s="64"/>
      <c r="W12" s="64"/>
      <c r="X12" s="64"/>
    </row>
    <row r="13" spans="16:24" ht="15" customHeight="1" x14ac:dyDescent="0.25">
      <c r="Q13" s="49" t="s">
        <v>165</v>
      </c>
      <c r="R13" s="56" t="s">
        <v>167</v>
      </c>
      <c r="S13" s="56" t="s">
        <v>168</v>
      </c>
      <c r="T13" s="56" t="s">
        <v>169</v>
      </c>
      <c r="U13" s="56" t="s">
        <v>170</v>
      </c>
      <c r="V13" s="56" t="s">
        <v>171</v>
      </c>
      <c r="W13" s="56" t="s">
        <v>172</v>
      </c>
      <c r="X13" s="56" t="s">
        <v>173</v>
      </c>
    </row>
    <row r="14" spans="16:24" ht="15" customHeight="1" x14ac:dyDescent="0.3">
      <c r="Q14" s="49"/>
      <c r="R14" s="60">
        <v>1</v>
      </c>
      <c r="S14" s="60">
        <v>120</v>
      </c>
      <c r="T14" s="60">
        <v>110</v>
      </c>
      <c r="U14" s="60">
        <v>10</v>
      </c>
      <c r="V14" s="60">
        <v>90</v>
      </c>
      <c r="W14" s="60">
        <v>30</v>
      </c>
      <c r="X14" s="60">
        <v>20</v>
      </c>
    </row>
    <row r="15" spans="16:24" ht="15" customHeight="1" x14ac:dyDescent="0.3">
      <c r="R15" s="60">
        <v>2</v>
      </c>
      <c r="S15" s="60">
        <v>120</v>
      </c>
      <c r="T15" s="60">
        <v>105</v>
      </c>
      <c r="U15" s="60">
        <v>15</v>
      </c>
      <c r="V15" s="60">
        <v>90</v>
      </c>
      <c r="W15" s="60">
        <v>30</v>
      </c>
      <c r="X15" s="60">
        <v>15</v>
      </c>
    </row>
    <row r="16" spans="16:24" ht="15" customHeight="1" x14ac:dyDescent="0.3">
      <c r="Q16" s="2"/>
      <c r="R16" s="60">
        <v>3</v>
      </c>
      <c r="S16" s="60">
        <v>120</v>
      </c>
      <c r="T16" s="60">
        <v>100</v>
      </c>
      <c r="U16" s="60">
        <v>20</v>
      </c>
      <c r="V16" s="60">
        <v>90</v>
      </c>
      <c r="W16" s="60">
        <v>30</v>
      </c>
      <c r="X16" s="60">
        <v>10</v>
      </c>
    </row>
    <row r="17" spans="1:24" ht="15" customHeight="1" x14ac:dyDescent="0.3">
      <c r="Q17" s="49"/>
      <c r="R17" s="60" t="s">
        <v>174</v>
      </c>
      <c r="S17" s="60"/>
      <c r="T17" s="60"/>
      <c r="U17" s="60">
        <v>45</v>
      </c>
      <c r="V17" s="60"/>
      <c r="W17" s="60">
        <v>90</v>
      </c>
      <c r="X17" s="60">
        <v>45</v>
      </c>
    </row>
    <row r="18" spans="1:24" ht="13.8" x14ac:dyDescent="0.25"/>
    <row r="19" spans="1:24" ht="15" customHeight="1" x14ac:dyDescent="0.3">
      <c r="A19" s="1"/>
    </row>
    <row r="20" spans="1:24" ht="15.75" customHeight="1" x14ac:dyDescent="0.25"/>
    <row r="21" spans="1:24" ht="15.75" customHeight="1" x14ac:dyDescent="0.25">
      <c r="N21" s="2"/>
      <c r="R21" s="64" t="s">
        <v>180</v>
      </c>
      <c r="S21" s="64"/>
      <c r="T21" s="64"/>
    </row>
    <row r="22" spans="1:24" ht="15.75" customHeight="1" x14ac:dyDescent="0.25">
      <c r="R22" s="56" t="s">
        <v>175</v>
      </c>
      <c r="S22" s="56" t="s">
        <v>176</v>
      </c>
      <c r="T22" s="56" t="s">
        <v>177</v>
      </c>
    </row>
    <row r="23" spans="1:24" ht="15.75" customHeight="1" x14ac:dyDescent="0.3">
      <c r="R23" s="60" t="s">
        <v>178</v>
      </c>
      <c r="S23" s="60">
        <v>45</v>
      </c>
      <c r="T23" s="60"/>
    </row>
    <row r="24" spans="1:24" ht="15.75" customHeight="1" x14ac:dyDescent="0.3">
      <c r="R24" s="60" t="s">
        <v>179</v>
      </c>
      <c r="S24" s="60">
        <v>90</v>
      </c>
      <c r="T24" s="60">
        <v>45</v>
      </c>
    </row>
    <row r="25" spans="1:24" ht="15.75" customHeight="1" x14ac:dyDescent="0.25"/>
    <row r="26" spans="1:24" ht="15.75" customHeight="1" x14ac:dyDescent="0.25"/>
    <row r="27" spans="1:24" ht="15.75" customHeight="1" x14ac:dyDescent="0.25"/>
    <row r="28" spans="1:24" ht="15.75" customHeight="1" x14ac:dyDescent="0.25"/>
    <row r="29" spans="1:24" ht="15.75" customHeight="1" x14ac:dyDescent="0.25"/>
    <row r="30" spans="1:24" ht="15.75" customHeight="1" x14ac:dyDescent="0.25"/>
    <row r="31" spans="1:24" ht="15.75" customHeight="1" x14ac:dyDescent="0.25"/>
    <row r="32" spans="1:2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sheetData>
  <mergeCells count="2">
    <mergeCell ref="R21:T21"/>
    <mergeCell ref="R12:X12"/>
  </mergeCells>
  <pageMargins left="0.4" right="0.17" top="0.75" bottom="0.7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K1:N967"/>
  <sheetViews>
    <sheetView topLeftCell="D1" zoomScale="80" workbookViewId="0">
      <selection activeCell="N12" sqref="N12"/>
    </sheetView>
  </sheetViews>
  <sheetFormatPr defaultColWidth="12.59765625" defaultRowHeight="15" customHeight="1" x14ac:dyDescent="0.25"/>
  <cols>
    <col min="1" max="1" width="36.19921875" customWidth="1"/>
    <col min="2" max="2" width="17.19921875" customWidth="1"/>
    <col min="3" max="7" width="7.59765625" customWidth="1"/>
    <col min="8" max="8" width="16.3984375" customWidth="1"/>
    <col min="11" max="11" width="40" bestFit="1" customWidth="1"/>
    <col min="12" max="12" width="16.8984375" bestFit="1" customWidth="1"/>
    <col min="13" max="13" width="51.09765625" bestFit="1" customWidth="1"/>
    <col min="14" max="14" width="54.3984375" bestFit="1" customWidth="1"/>
  </cols>
  <sheetData>
    <row r="1" spans="11:14" ht="15.75" customHeight="1" x14ac:dyDescent="0.25"/>
    <row r="2" spans="11:14" ht="15.75" customHeight="1" x14ac:dyDescent="0.25">
      <c r="K2" s="57" t="s">
        <v>182</v>
      </c>
      <c r="L2" s="59" t="s">
        <v>183</v>
      </c>
      <c r="M2" s="57" t="s">
        <v>200</v>
      </c>
      <c r="N2" s="57" t="s">
        <v>201</v>
      </c>
    </row>
    <row r="3" spans="11:14" ht="15.75" customHeight="1" x14ac:dyDescent="0.25">
      <c r="K3" s="58" t="s">
        <v>184</v>
      </c>
      <c r="L3" s="58" t="s">
        <v>185</v>
      </c>
      <c r="M3" s="58" t="s">
        <v>186</v>
      </c>
      <c r="N3" s="58"/>
    </row>
    <row r="4" spans="11:14" ht="15.75" customHeight="1" x14ac:dyDescent="0.25">
      <c r="K4" s="58" t="s">
        <v>187</v>
      </c>
      <c r="L4" s="58" t="s">
        <v>185</v>
      </c>
      <c r="M4" s="58" t="s">
        <v>188</v>
      </c>
      <c r="N4" s="58"/>
    </row>
    <row r="5" spans="11:14" ht="15.75" customHeight="1" x14ac:dyDescent="0.25">
      <c r="K5" s="58" t="s">
        <v>189</v>
      </c>
      <c r="L5" s="58" t="s">
        <v>190</v>
      </c>
      <c r="M5" s="58"/>
      <c r="N5" s="58"/>
    </row>
    <row r="6" spans="11:14" ht="15.75" customHeight="1" x14ac:dyDescent="0.25">
      <c r="K6" s="58" t="s">
        <v>191</v>
      </c>
      <c r="L6" s="58" t="s">
        <v>185</v>
      </c>
      <c r="M6" s="58" t="s">
        <v>192</v>
      </c>
      <c r="N6" s="58" t="s">
        <v>198</v>
      </c>
    </row>
    <row r="7" spans="11:14" ht="15.75" customHeight="1" x14ac:dyDescent="0.25">
      <c r="K7" s="58" t="s">
        <v>193</v>
      </c>
      <c r="L7" s="58" t="s">
        <v>185</v>
      </c>
      <c r="M7" s="58" t="s">
        <v>202</v>
      </c>
      <c r="N7" s="58"/>
    </row>
    <row r="8" spans="11:14" ht="15.75" customHeight="1" x14ac:dyDescent="0.25">
      <c r="K8" s="58" t="s">
        <v>194</v>
      </c>
      <c r="L8" s="58" t="s">
        <v>190</v>
      </c>
      <c r="M8" s="58"/>
      <c r="N8" s="58"/>
    </row>
    <row r="9" spans="11:14" ht="15.75" customHeight="1" x14ac:dyDescent="0.25">
      <c r="K9" s="58" t="s">
        <v>195</v>
      </c>
      <c r="L9" s="58" t="s">
        <v>185</v>
      </c>
      <c r="M9" s="58" t="s">
        <v>188</v>
      </c>
      <c r="N9" s="58" t="s">
        <v>199</v>
      </c>
    </row>
    <row r="10" spans="11:14" ht="15.75" customHeight="1" x14ac:dyDescent="0.25">
      <c r="K10" s="58" t="s">
        <v>196</v>
      </c>
      <c r="L10" s="58" t="s">
        <v>197</v>
      </c>
      <c r="M10" s="58"/>
      <c r="N10" s="58"/>
    </row>
    <row r="11" spans="11:14" ht="15.75" customHeight="1" x14ac:dyDescent="0.25"/>
    <row r="12" spans="11:14" ht="15.75" customHeight="1" x14ac:dyDescent="0.25"/>
    <row r="13" spans="11:14" ht="15.75" customHeight="1" x14ac:dyDescent="0.25"/>
    <row r="14" spans="11:14" ht="15.75" customHeight="1" x14ac:dyDescent="0.25"/>
    <row r="15" spans="11:14" ht="15.75" customHeight="1" x14ac:dyDescent="0.25"/>
    <row r="16" spans="11:14"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sheetData>
  <pageMargins left="0.7" right="0.7" top="0.75" bottom="0.75"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918"/>
  <sheetViews>
    <sheetView tabSelected="1" zoomScale="88" zoomScaleNormal="95" workbookViewId="0">
      <selection activeCell="E11" sqref="E11"/>
    </sheetView>
  </sheetViews>
  <sheetFormatPr defaultColWidth="12.59765625" defaultRowHeight="15" customHeight="1" x14ac:dyDescent="0.25"/>
  <cols>
    <col min="1" max="1" width="6.3984375" style="25" customWidth="1"/>
    <col min="2" max="2" width="73.5" customWidth="1"/>
    <col min="4" max="4" width="27.8984375" bestFit="1" customWidth="1"/>
    <col min="7" max="7" width="15.5" bestFit="1" customWidth="1"/>
    <col min="9" max="9" width="15.796875" bestFit="1" customWidth="1"/>
    <col min="12" max="12" width="20.3984375" bestFit="1" customWidth="1"/>
  </cols>
  <sheetData>
    <row r="1" spans="1:13" ht="15" customHeight="1" x14ac:dyDescent="0.3">
      <c r="A1" s="23" t="s">
        <v>97</v>
      </c>
      <c r="B1" s="4"/>
    </row>
    <row r="2" spans="1:13" ht="15" customHeight="1" x14ac:dyDescent="0.3">
      <c r="A2" s="24" t="s">
        <v>82</v>
      </c>
      <c r="B2" s="3" t="s">
        <v>83</v>
      </c>
    </row>
    <row r="3" spans="1:13" ht="15" customHeight="1" x14ac:dyDescent="0.3">
      <c r="A3" s="24">
        <v>1</v>
      </c>
      <c r="B3" s="26" t="s">
        <v>101</v>
      </c>
      <c r="D3" s="50" t="s">
        <v>122</v>
      </c>
      <c r="E3" s="51" t="s">
        <v>138</v>
      </c>
      <c r="G3" s="62" t="s">
        <v>136</v>
      </c>
      <c r="H3" s="62"/>
      <c r="I3" s="62"/>
      <c r="J3" s="62"/>
      <c r="L3" s="50" t="s">
        <v>153</v>
      </c>
      <c r="M3" s="54" t="s">
        <v>138</v>
      </c>
    </row>
    <row r="4" spans="1:13" ht="15" customHeight="1" x14ac:dyDescent="0.3">
      <c r="A4" s="24">
        <v>2</v>
      </c>
      <c r="B4" s="26" t="s">
        <v>108</v>
      </c>
      <c r="D4" s="48" t="s">
        <v>123</v>
      </c>
      <c r="E4" s="48">
        <f>200000+5000</f>
        <v>205000</v>
      </c>
      <c r="G4" s="48" t="s">
        <v>137</v>
      </c>
      <c r="H4" s="48" t="s">
        <v>138</v>
      </c>
      <c r="I4" s="48" t="s">
        <v>139</v>
      </c>
      <c r="J4" s="48" t="s">
        <v>138</v>
      </c>
      <c r="L4" s="48"/>
      <c r="M4" s="48"/>
    </row>
    <row r="5" spans="1:13" ht="15" customHeight="1" x14ac:dyDescent="0.3">
      <c r="A5" s="24">
        <v>3</v>
      </c>
      <c r="B5" s="26" t="s">
        <v>102</v>
      </c>
      <c r="D5" s="48" t="s">
        <v>124</v>
      </c>
      <c r="E5" s="48"/>
      <c r="G5" s="61" t="s">
        <v>206</v>
      </c>
      <c r="H5" s="48">
        <f>500000+31000-10000</f>
        <v>521000</v>
      </c>
      <c r="I5" s="48" t="s">
        <v>141</v>
      </c>
      <c r="J5" s="48"/>
      <c r="L5" s="55" t="s">
        <v>154</v>
      </c>
      <c r="M5" s="48"/>
    </row>
    <row r="6" spans="1:13" ht="15" customHeight="1" x14ac:dyDescent="0.3">
      <c r="A6" s="24">
        <v>4</v>
      </c>
      <c r="B6" s="26" t="s">
        <v>103</v>
      </c>
      <c r="D6" s="48" t="s">
        <v>125</v>
      </c>
      <c r="E6" s="48">
        <f>E4+E5</f>
        <v>205000</v>
      </c>
      <c r="G6" s="48" t="s">
        <v>142</v>
      </c>
      <c r="H6" s="48">
        <f>E16</f>
        <v>31000</v>
      </c>
      <c r="I6" s="48" t="s">
        <v>143</v>
      </c>
      <c r="J6" s="48">
        <f>500000-100000-30000-24000-10000+150000</f>
        <v>486000</v>
      </c>
      <c r="L6" s="61" t="s">
        <v>207</v>
      </c>
      <c r="M6" s="48">
        <f>150000</f>
        <v>150000</v>
      </c>
    </row>
    <row r="7" spans="1:13" ht="15" customHeight="1" x14ac:dyDescent="0.3">
      <c r="A7" s="24">
        <v>5</v>
      </c>
      <c r="B7" s="26" t="s">
        <v>104</v>
      </c>
      <c r="D7" s="48" t="s">
        <v>126</v>
      </c>
      <c r="E7" s="48">
        <f>120000</f>
        <v>120000</v>
      </c>
      <c r="G7" s="48" t="s">
        <v>144</v>
      </c>
      <c r="H7" s="48">
        <f>SUM(H5+H6)</f>
        <v>552000</v>
      </c>
      <c r="I7" s="48" t="s">
        <v>145</v>
      </c>
      <c r="J7" s="48"/>
      <c r="L7" s="61" t="s">
        <v>208</v>
      </c>
      <c r="M7" s="48">
        <f>-100000</f>
        <v>-100000</v>
      </c>
    </row>
    <row r="8" spans="1:13" ht="15" customHeight="1" x14ac:dyDescent="0.3">
      <c r="A8" s="24">
        <v>6</v>
      </c>
      <c r="B8" s="26" t="s">
        <v>105</v>
      </c>
      <c r="D8" s="48" t="s">
        <v>127</v>
      </c>
      <c r="E8" s="48">
        <f>E6-E7</f>
        <v>85000</v>
      </c>
      <c r="G8" s="48"/>
      <c r="H8" s="48"/>
      <c r="I8" s="48" t="s">
        <v>146</v>
      </c>
      <c r="J8" s="48"/>
      <c r="L8" s="61" t="s">
        <v>209</v>
      </c>
      <c r="M8" s="48">
        <f>-30000</f>
        <v>-30000</v>
      </c>
    </row>
    <row r="9" spans="1:13" ht="15" customHeight="1" x14ac:dyDescent="0.3">
      <c r="A9" s="24">
        <v>7</v>
      </c>
      <c r="B9" s="26" t="s">
        <v>106</v>
      </c>
      <c r="D9" s="48" t="s">
        <v>128</v>
      </c>
      <c r="E9" s="48">
        <f>30000+10000+12000+24000-22000</f>
        <v>54000</v>
      </c>
      <c r="G9" s="48"/>
      <c r="H9" s="48"/>
      <c r="I9" s="61" t="s">
        <v>203</v>
      </c>
      <c r="J9" s="48">
        <f>200000-150000</f>
        <v>50000</v>
      </c>
      <c r="L9" s="61" t="s">
        <v>210</v>
      </c>
      <c r="M9" s="48">
        <f>-24000</f>
        <v>-24000</v>
      </c>
    </row>
    <row r="10" spans="1:13" ht="15" customHeight="1" x14ac:dyDescent="0.3">
      <c r="A10" s="24">
        <v>8</v>
      </c>
      <c r="B10" s="26" t="s">
        <v>107</v>
      </c>
      <c r="D10" s="48" t="s">
        <v>129</v>
      </c>
      <c r="E10" s="48">
        <f>E8-E9</f>
        <v>31000</v>
      </c>
      <c r="G10" s="48"/>
      <c r="H10" s="48"/>
      <c r="I10" s="61" t="s">
        <v>204</v>
      </c>
      <c r="J10" s="48">
        <f>22000</f>
        <v>22000</v>
      </c>
      <c r="L10" s="48"/>
      <c r="M10" s="48"/>
    </row>
    <row r="11" spans="1:13" ht="15" customHeight="1" x14ac:dyDescent="0.3">
      <c r="A11" s="24">
        <v>9</v>
      </c>
      <c r="B11" s="26" t="s">
        <v>109</v>
      </c>
      <c r="D11" s="48" t="s">
        <v>130</v>
      </c>
      <c r="E11" s="48"/>
      <c r="G11" s="48" t="s">
        <v>147</v>
      </c>
      <c r="H11" s="48"/>
      <c r="I11" s="48" t="s">
        <v>148</v>
      </c>
      <c r="J11" s="48"/>
      <c r="L11" s="55" t="s">
        <v>152</v>
      </c>
      <c r="M11" s="48">
        <f>SUM(M6:M10)</f>
        <v>-4000</v>
      </c>
    </row>
    <row r="12" spans="1:13" ht="15" customHeight="1" x14ac:dyDescent="0.3">
      <c r="A12" s="24">
        <v>10</v>
      </c>
      <c r="B12" s="26" t="s">
        <v>116</v>
      </c>
      <c r="D12" s="48" t="s">
        <v>131</v>
      </c>
      <c r="E12" s="48">
        <f>E10-E11</f>
        <v>31000</v>
      </c>
      <c r="G12" s="48" t="s">
        <v>149</v>
      </c>
      <c r="H12" s="48">
        <f>10000</f>
        <v>10000</v>
      </c>
      <c r="I12" s="48"/>
      <c r="J12" s="48"/>
      <c r="L12" s="48"/>
      <c r="M12" s="48"/>
    </row>
    <row r="13" spans="1:13" ht="15.75" customHeight="1" x14ac:dyDescent="0.3">
      <c r="B13" s="47" t="s">
        <v>98</v>
      </c>
      <c r="D13" s="48" t="s">
        <v>132</v>
      </c>
      <c r="E13" s="48"/>
      <c r="G13" s="48" t="s">
        <v>150</v>
      </c>
      <c r="H13" s="48">
        <f>12000</f>
        <v>12000</v>
      </c>
      <c r="I13" s="48"/>
      <c r="J13" s="48"/>
      <c r="L13" s="55" t="s">
        <v>155</v>
      </c>
      <c r="M13" s="48"/>
    </row>
    <row r="14" spans="1:13" ht="15.75" customHeight="1" x14ac:dyDescent="0.25">
      <c r="D14" s="48" t="s">
        <v>133</v>
      </c>
      <c r="E14" s="48">
        <f>E12-E13</f>
        <v>31000</v>
      </c>
      <c r="G14" s="61" t="s">
        <v>205</v>
      </c>
      <c r="H14" s="48">
        <f>200000-100000</f>
        <v>100000</v>
      </c>
      <c r="I14" s="48"/>
      <c r="J14" s="48"/>
      <c r="L14" s="48"/>
      <c r="M14" s="48"/>
    </row>
    <row r="15" spans="1:13" ht="15.75" customHeight="1" x14ac:dyDescent="0.3">
      <c r="D15" s="48" t="s">
        <v>134</v>
      </c>
      <c r="E15" s="48"/>
      <c r="G15" s="48" t="s">
        <v>151</v>
      </c>
      <c r="H15" s="48"/>
      <c r="I15" s="48"/>
      <c r="J15" s="48"/>
      <c r="L15" s="55"/>
      <c r="M15" s="48"/>
    </row>
    <row r="16" spans="1:13" ht="15.75" customHeight="1" x14ac:dyDescent="0.25">
      <c r="D16" s="48" t="s">
        <v>135</v>
      </c>
      <c r="E16" s="48">
        <f>E14-E15</f>
        <v>31000</v>
      </c>
      <c r="G16" s="48"/>
      <c r="H16" s="48"/>
      <c r="I16" s="48"/>
      <c r="J16" s="48"/>
      <c r="L16" s="48"/>
      <c r="M16" s="48"/>
    </row>
    <row r="17" spans="7:13" ht="15.75" customHeight="1" x14ac:dyDescent="0.25">
      <c r="G17" s="48"/>
      <c r="H17" s="48"/>
      <c r="I17" s="48"/>
      <c r="J17" s="48"/>
      <c r="L17" s="48"/>
      <c r="M17" s="48"/>
    </row>
    <row r="18" spans="7:13" ht="15.75" customHeight="1" x14ac:dyDescent="0.25">
      <c r="G18" s="48"/>
      <c r="H18" s="48"/>
      <c r="I18" s="48"/>
      <c r="J18" s="48"/>
      <c r="L18" s="48"/>
      <c r="M18" s="48"/>
    </row>
    <row r="19" spans="7:13" ht="15.75" customHeight="1" x14ac:dyDescent="0.25">
      <c r="G19" s="48" t="s">
        <v>152</v>
      </c>
      <c r="H19" s="48">
        <f>SUM(H7:H18)</f>
        <v>674000</v>
      </c>
      <c r="I19" s="48" t="s">
        <v>152</v>
      </c>
      <c r="J19" s="48">
        <f>SUM(J5:J18)</f>
        <v>558000</v>
      </c>
      <c r="L19" s="48"/>
      <c r="M19" s="48"/>
    </row>
    <row r="20" spans="7:13" ht="15.75" customHeight="1" x14ac:dyDescent="0.3">
      <c r="G20" s="48"/>
      <c r="H20" s="48"/>
      <c r="I20" s="48"/>
      <c r="J20" s="48"/>
      <c r="L20" s="55" t="s">
        <v>152</v>
      </c>
      <c r="M20" s="48">
        <f>SUM(M14:M19)</f>
        <v>0</v>
      </c>
    </row>
    <row r="21" spans="7:13" ht="15.75" customHeight="1" x14ac:dyDescent="0.25">
      <c r="G21" s="48"/>
      <c r="H21" s="52" t="s">
        <v>160</v>
      </c>
      <c r="I21" s="53">
        <f>H19-J19</f>
        <v>116000</v>
      </c>
      <c r="J21" s="48"/>
      <c r="L21" s="48"/>
      <c r="M21" s="48"/>
    </row>
    <row r="22" spans="7:13" ht="15.75" customHeight="1" x14ac:dyDescent="0.3">
      <c r="L22" s="55" t="s">
        <v>156</v>
      </c>
      <c r="M22" s="48"/>
    </row>
    <row r="23" spans="7:13" ht="15.75" customHeight="1" x14ac:dyDescent="0.25">
      <c r="L23" s="61" t="s">
        <v>140</v>
      </c>
      <c r="M23" s="48">
        <f>500000</f>
        <v>500000</v>
      </c>
    </row>
    <row r="24" spans="7:13" ht="15.75" customHeight="1" x14ac:dyDescent="0.25">
      <c r="L24" s="61" t="s">
        <v>211</v>
      </c>
      <c r="M24" s="48">
        <f>-10000</f>
        <v>-10000</v>
      </c>
    </row>
    <row r="25" spans="7:13" ht="15.75" customHeight="1" x14ac:dyDescent="0.25">
      <c r="L25" s="48"/>
      <c r="M25" s="48"/>
    </row>
    <row r="26" spans="7:13" ht="15.75" customHeight="1" x14ac:dyDescent="0.3">
      <c r="L26" s="55" t="s">
        <v>152</v>
      </c>
      <c r="M26" s="48">
        <f>SUM(M23:M25)</f>
        <v>490000</v>
      </c>
    </row>
    <row r="27" spans="7:13" ht="15.75" customHeight="1" x14ac:dyDescent="0.25">
      <c r="L27" s="48"/>
      <c r="M27" s="48"/>
    </row>
    <row r="28" spans="7:13" ht="15.75" customHeight="1" x14ac:dyDescent="0.3">
      <c r="L28" s="55" t="s">
        <v>157</v>
      </c>
      <c r="M28" s="48">
        <f>0</f>
        <v>0</v>
      </c>
    </row>
    <row r="29" spans="7:13" ht="15.75" customHeight="1" x14ac:dyDescent="0.3">
      <c r="L29" s="55" t="s">
        <v>158</v>
      </c>
      <c r="M29" s="48">
        <f>M11+M20+M26</f>
        <v>486000</v>
      </c>
    </row>
    <row r="30" spans="7:13" ht="15.75" customHeight="1" x14ac:dyDescent="0.3">
      <c r="L30" s="55" t="s">
        <v>159</v>
      </c>
      <c r="M30" s="48">
        <f>SUM(M28:M29)</f>
        <v>486000</v>
      </c>
    </row>
    <row r="31" spans="7:13" ht="15.75" customHeight="1" x14ac:dyDescent="0.25"/>
    <row r="32" spans="7: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sheetData>
  <mergeCells count="1">
    <mergeCell ref="G3:J3"/>
  </mergeCells>
  <pageMargins left="0.7" right="0.7" top="0.75" bottom="0.75"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7:A343"/>
  <sheetViews>
    <sheetView showGridLines="0" zoomScale="68" workbookViewId="0">
      <selection activeCell="M55" sqref="M55"/>
    </sheetView>
  </sheetViews>
  <sheetFormatPr defaultColWidth="12.59765625" defaultRowHeight="15" customHeight="1" x14ac:dyDescent="0.25"/>
  <cols>
    <col min="1" max="1" width="7.59765625" customWidth="1"/>
    <col min="2" max="2" width="26.59765625" customWidth="1"/>
    <col min="3" max="3" width="17" customWidth="1"/>
    <col min="4" max="4" width="13.59765625" customWidth="1"/>
    <col min="5" max="5" width="11.5" customWidth="1"/>
    <col min="6" max="6" width="12" customWidth="1"/>
    <col min="7" max="7" width="10.09765625" customWidth="1"/>
    <col min="8" max="8" width="13" customWidth="1"/>
    <col min="9" max="9" width="7.59765625" customWidth="1"/>
    <col min="10" max="10" width="29.5" customWidth="1"/>
    <col min="11" max="13" width="7.59765625" customWidth="1"/>
    <col min="14" max="14" width="10.3984375" customWidth="1"/>
    <col min="15" max="16" width="7.59765625" customWidth="1"/>
  </cols>
  <sheetData>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sheetData>
  <pageMargins left="0.7" right="0.7" top="0.39" bottom="0.22" header="0" footer="0"/>
  <pageSetup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8"/>
  <sheetViews>
    <sheetView workbookViewId="0">
      <selection activeCell="M55" sqref="M55"/>
    </sheetView>
  </sheetViews>
  <sheetFormatPr defaultRowHeight="13.8" x14ac:dyDescent="0.25"/>
  <cols>
    <col min="1" max="1" width="25.8984375" customWidth="1"/>
    <col min="2" max="6" width="8.09765625" bestFit="1" customWidth="1"/>
    <col min="7" max="7" width="15.19921875" customWidth="1"/>
    <col min="8" max="8" width="8.59765625"/>
  </cols>
  <sheetData>
    <row r="1" spans="1:8" ht="18" x14ac:dyDescent="0.25">
      <c r="A1" s="27"/>
      <c r="B1" s="28"/>
      <c r="C1" s="28"/>
      <c r="D1" s="28"/>
      <c r="E1" s="28"/>
      <c r="F1" s="28"/>
      <c r="H1" s="41"/>
    </row>
    <row r="2" spans="1:8" ht="26.4" x14ac:dyDescent="0.25">
      <c r="A2" s="29" t="s">
        <v>110</v>
      </c>
      <c r="B2" s="30">
        <v>2025</v>
      </c>
      <c r="C2" s="30">
        <v>2024</v>
      </c>
      <c r="D2" s="30">
        <v>2023</v>
      </c>
      <c r="E2" s="30">
        <v>2022</v>
      </c>
      <c r="F2" s="30">
        <v>2021</v>
      </c>
    </row>
    <row r="3" spans="1:8" ht="14.4" x14ac:dyDescent="0.3">
      <c r="A3" s="31"/>
      <c r="B3" s="32" t="s">
        <v>21</v>
      </c>
      <c r="C3" s="32" t="s">
        <v>21</v>
      </c>
      <c r="D3" s="32" t="s">
        <v>21</v>
      </c>
      <c r="E3" s="32" t="s">
        <v>21</v>
      </c>
      <c r="F3" s="32" t="s">
        <v>21</v>
      </c>
      <c r="H3" s="42"/>
    </row>
    <row r="4" spans="1:8" x14ac:dyDescent="0.25">
      <c r="A4" s="33" t="s">
        <v>22</v>
      </c>
      <c r="B4" s="34"/>
      <c r="C4" s="34"/>
      <c r="D4" s="35"/>
      <c r="E4" s="35"/>
      <c r="F4" s="35"/>
    </row>
    <row r="5" spans="1:8" ht="26.4" x14ac:dyDescent="0.25">
      <c r="A5" s="36" t="s">
        <v>23</v>
      </c>
      <c r="B5" s="37">
        <v>56131.82</v>
      </c>
      <c r="C5" s="37">
        <v>50051.07</v>
      </c>
      <c r="D5" s="37">
        <v>38023.03</v>
      </c>
      <c r="E5" s="37">
        <v>27711.18</v>
      </c>
      <c r="F5" s="37">
        <v>26151.03</v>
      </c>
      <c r="G5" s="43"/>
    </row>
    <row r="6" spans="1:8" x14ac:dyDescent="0.25">
      <c r="A6" s="33" t="s">
        <v>24</v>
      </c>
      <c r="B6" s="35">
        <v>56131.82</v>
      </c>
      <c r="C6" s="35">
        <v>50051.07</v>
      </c>
      <c r="D6" s="35">
        <v>38023.03</v>
      </c>
      <c r="E6" s="35">
        <v>27711.18</v>
      </c>
      <c r="F6" s="35">
        <v>26151.03</v>
      </c>
    </row>
    <row r="7" spans="1:8" ht="15.6" x14ac:dyDescent="0.25">
      <c r="A7" s="36" t="s">
        <v>25</v>
      </c>
      <c r="B7" s="37">
        <v>56203.09</v>
      </c>
      <c r="C7" s="37">
        <v>50351.25</v>
      </c>
      <c r="D7" s="37">
        <v>38773.300000000003</v>
      </c>
      <c r="E7" s="37">
        <v>27711.18</v>
      </c>
      <c r="F7" s="37">
        <v>26221.48</v>
      </c>
      <c r="G7" s="43"/>
    </row>
    <row r="8" spans="1:8" x14ac:dyDescent="0.25">
      <c r="A8" s="38" t="s">
        <v>12</v>
      </c>
      <c r="B8" s="39">
        <v>2702.74</v>
      </c>
      <c r="C8" s="39">
        <v>9930.23</v>
      </c>
      <c r="D8" s="39">
        <v>4267.22</v>
      </c>
      <c r="E8" s="39">
        <v>3975.29</v>
      </c>
      <c r="F8" s="39">
        <v>1928.2</v>
      </c>
      <c r="H8" s="44"/>
    </row>
    <row r="9" spans="1:8" x14ac:dyDescent="0.25">
      <c r="A9" s="33" t="s">
        <v>26</v>
      </c>
      <c r="B9" s="34">
        <v>58905.83</v>
      </c>
      <c r="C9" s="34">
        <v>60281.48</v>
      </c>
      <c r="D9" s="34">
        <v>43040.52</v>
      </c>
      <c r="E9" s="34">
        <v>31686.47</v>
      </c>
      <c r="F9" s="34">
        <v>28149.68</v>
      </c>
    </row>
    <row r="10" spans="1:8" x14ac:dyDescent="0.25">
      <c r="A10" s="33" t="s">
        <v>27</v>
      </c>
      <c r="B10" s="35"/>
      <c r="C10" s="35"/>
      <c r="D10" s="35"/>
      <c r="E10" s="35"/>
      <c r="F10" s="35"/>
    </row>
    <row r="11" spans="1:8" x14ac:dyDescent="0.25">
      <c r="A11" s="33" t="s">
        <v>28</v>
      </c>
      <c r="B11" s="35">
        <v>356.99</v>
      </c>
      <c r="C11" s="34">
        <v>222.26</v>
      </c>
      <c r="D11" s="34">
        <v>214.14</v>
      </c>
      <c r="E11" s="34">
        <v>545.55999999999995</v>
      </c>
      <c r="F11" s="34">
        <v>365.3</v>
      </c>
    </row>
    <row r="12" spans="1:8" x14ac:dyDescent="0.25">
      <c r="A12" s="33" t="s">
        <v>29</v>
      </c>
      <c r="B12" s="34">
        <v>459.09</v>
      </c>
      <c r="C12" s="34">
        <v>503.99</v>
      </c>
      <c r="D12" s="34">
        <v>519.61</v>
      </c>
      <c r="E12" s="34">
        <v>642.77</v>
      </c>
      <c r="F12" s="34">
        <v>664.31</v>
      </c>
    </row>
    <row r="13" spans="1:8" ht="26.4" x14ac:dyDescent="0.25">
      <c r="A13" s="33" t="s">
        <v>111</v>
      </c>
      <c r="B13" s="34">
        <v>0</v>
      </c>
      <c r="C13" s="34">
        <v>0</v>
      </c>
      <c r="D13" s="34">
        <v>0</v>
      </c>
      <c r="E13" s="34">
        <v>0</v>
      </c>
      <c r="F13" s="34">
        <v>0</v>
      </c>
    </row>
    <row r="14" spans="1:8" x14ac:dyDescent="0.25">
      <c r="A14" s="33" t="s">
        <v>30</v>
      </c>
      <c r="B14" s="34">
        <v>784.4</v>
      </c>
      <c r="C14" s="34">
        <v>643.70000000000005</v>
      </c>
      <c r="D14" s="34">
        <v>569.99</v>
      </c>
      <c r="E14" s="34">
        <v>470.31</v>
      </c>
      <c r="F14" s="34">
        <v>431.54</v>
      </c>
    </row>
    <row r="15" spans="1:8" x14ac:dyDescent="0.25">
      <c r="A15" s="33" t="s">
        <v>31</v>
      </c>
      <c r="B15" s="34">
        <v>3339.79</v>
      </c>
      <c r="C15" s="34">
        <v>3388.09</v>
      </c>
      <c r="D15" s="34">
        <v>3333.5</v>
      </c>
      <c r="E15" s="34">
        <v>4094.78</v>
      </c>
      <c r="F15" s="34">
        <v>5106.33</v>
      </c>
    </row>
    <row r="16" spans="1:8" ht="26.4" x14ac:dyDescent="0.25">
      <c r="A16" s="36" t="s">
        <v>32</v>
      </c>
      <c r="B16" s="37">
        <v>4308.88</v>
      </c>
      <c r="C16" s="37">
        <v>3931.33</v>
      </c>
      <c r="D16" s="37">
        <v>3303.68</v>
      </c>
      <c r="E16" s="37">
        <v>3117.54</v>
      </c>
      <c r="F16" s="37">
        <v>3201.65</v>
      </c>
      <c r="G16" s="43"/>
    </row>
    <row r="17" spans="1:8" x14ac:dyDescent="0.25">
      <c r="A17" s="36" t="s">
        <v>33</v>
      </c>
      <c r="B17" s="37">
        <v>3023.92</v>
      </c>
      <c r="C17" s="40">
        <v>2347.96</v>
      </c>
      <c r="D17" s="37">
        <v>1944.05</v>
      </c>
      <c r="E17" s="37">
        <v>1476.17</v>
      </c>
      <c r="F17" s="37">
        <v>1310.6600000000001</v>
      </c>
    </row>
    <row r="18" spans="1:8" x14ac:dyDescent="0.25">
      <c r="A18" s="33" t="s">
        <v>34</v>
      </c>
      <c r="B18" s="35">
        <v>42546.32</v>
      </c>
      <c r="C18" s="35">
        <v>39489.97</v>
      </c>
      <c r="D18" s="35">
        <v>35365.82</v>
      </c>
      <c r="E18" s="35">
        <v>25109.34</v>
      </c>
      <c r="F18" s="35">
        <v>25860.94</v>
      </c>
    </row>
    <row r="19" spans="1:8" ht="26.4" x14ac:dyDescent="0.25">
      <c r="A19" s="36" t="s">
        <v>35</v>
      </c>
      <c r="B19" s="37">
        <v>16359.51</v>
      </c>
      <c r="C19" s="40">
        <v>20791.509999999998</v>
      </c>
      <c r="D19" s="37">
        <v>7674.7</v>
      </c>
      <c r="E19" s="37">
        <v>6577.13</v>
      </c>
      <c r="F19" s="37">
        <v>2288.7399999999998</v>
      </c>
      <c r="H19" s="44"/>
    </row>
    <row r="20" spans="1:8" x14ac:dyDescent="0.25">
      <c r="A20" s="33" t="s">
        <v>36</v>
      </c>
      <c r="B20" s="35">
        <v>16359.51</v>
      </c>
      <c r="C20" s="35">
        <v>20791.509999999998</v>
      </c>
      <c r="D20" s="35">
        <v>7674.7</v>
      </c>
      <c r="E20" s="35">
        <v>6577.13</v>
      </c>
      <c r="F20" s="35">
        <v>2288.7399999999998</v>
      </c>
    </row>
    <row r="21" spans="1:8" ht="26.4" x14ac:dyDescent="0.25">
      <c r="A21" s="33" t="s">
        <v>37</v>
      </c>
      <c r="B21" s="35"/>
      <c r="C21" s="35"/>
      <c r="D21" s="35"/>
      <c r="E21" s="35"/>
      <c r="F21" s="35"/>
    </row>
    <row r="22" spans="1:8" x14ac:dyDescent="0.25">
      <c r="A22" s="33" t="s">
        <v>38</v>
      </c>
      <c r="B22" s="34">
        <v>54.89</v>
      </c>
      <c r="C22" s="35">
        <v>0.09</v>
      </c>
      <c r="D22" s="34">
        <v>0.57999999999999996</v>
      </c>
      <c r="E22" s="34">
        <v>689.09</v>
      </c>
      <c r="F22" s="34">
        <v>25.64</v>
      </c>
    </row>
    <row r="23" spans="1:8" x14ac:dyDescent="0.25">
      <c r="A23" s="36" t="s">
        <v>16</v>
      </c>
      <c r="B23" s="37">
        <v>3553.4</v>
      </c>
      <c r="C23" s="40">
        <v>-51.28</v>
      </c>
      <c r="D23" s="37">
        <v>-2284.34</v>
      </c>
      <c r="E23" s="37">
        <v>976.57</v>
      </c>
      <c r="F23" s="37">
        <v>997.39</v>
      </c>
    </row>
    <row r="24" spans="1:8" x14ac:dyDescent="0.25">
      <c r="A24" s="36" t="s">
        <v>112</v>
      </c>
      <c r="B24" s="37">
        <v>0</v>
      </c>
      <c r="C24" s="40">
        <v>0</v>
      </c>
      <c r="D24" s="37">
        <v>0</v>
      </c>
      <c r="E24" s="37">
        <v>0</v>
      </c>
      <c r="F24" s="37">
        <v>0</v>
      </c>
    </row>
    <row r="25" spans="1:8" x14ac:dyDescent="0.25">
      <c r="A25" s="36" t="s">
        <v>39</v>
      </c>
      <c r="B25" s="37">
        <v>3609.9</v>
      </c>
      <c r="C25" s="40">
        <v>-37.28</v>
      </c>
      <c r="D25" s="37">
        <v>-3051.94</v>
      </c>
      <c r="E25" s="37">
        <v>1665.55</v>
      </c>
      <c r="F25" s="37">
        <v>1018.76</v>
      </c>
    </row>
    <row r="26" spans="1:8" ht="26.4" x14ac:dyDescent="0.25">
      <c r="A26" s="36" t="s">
        <v>40</v>
      </c>
      <c r="B26" s="37">
        <v>12749.61</v>
      </c>
      <c r="C26" s="40">
        <v>20828.79</v>
      </c>
      <c r="D26" s="37">
        <v>10726.64</v>
      </c>
      <c r="E26" s="37">
        <v>4911.58</v>
      </c>
      <c r="F26" s="37">
        <v>1269.98</v>
      </c>
    </row>
    <row r="27" spans="1:8" ht="26.4" x14ac:dyDescent="0.25">
      <c r="A27" s="33" t="s">
        <v>41</v>
      </c>
      <c r="B27" s="35">
        <v>12749.61</v>
      </c>
      <c r="C27" s="35">
        <v>20828.79</v>
      </c>
      <c r="D27" s="35">
        <v>10726.64</v>
      </c>
      <c r="E27" s="35">
        <v>4911.58</v>
      </c>
      <c r="F27" s="35">
        <v>1269.98</v>
      </c>
    </row>
    <row r="28" spans="1:8" ht="30" customHeight="1" x14ac:dyDescent="0.25">
      <c r="A28" s="36" t="s">
        <v>42</v>
      </c>
      <c r="B28" s="37">
        <v>12749.61</v>
      </c>
      <c r="C28" s="37">
        <v>20828.79</v>
      </c>
      <c r="D28" s="37">
        <v>10726.64</v>
      </c>
      <c r="E28" s="37">
        <v>4911.58</v>
      </c>
      <c r="F28" s="37">
        <v>1269.98</v>
      </c>
      <c r="G28" s="4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4"/>
  <sheetViews>
    <sheetView topLeftCell="A6" workbookViewId="0">
      <selection activeCell="J15" sqref="J15"/>
    </sheetView>
  </sheetViews>
  <sheetFormatPr defaultRowHeight="13.8" x14ac:dyDescent="0.25"/>
  <cols>
    <col min="1" max="1" width="25.8984375" customWidth="1"/>
    <col min="2" max="2" width="12.59765625" customWidth="1"/>
    <col min="3" max="6" width="8.09765625" bestFit="1" customWidth="1"/>
    <col min="7" max="7" width="8.59765625"/>
  </cols>
  <sheetData>
    <row r="1" spans="1:7" ht="18" x14ac:dyDescent="0.25">
      <c r="A1" s="27"/>
      <c r="B1" s="28"/>
      <c r="C1" s="28"/>
      <c r="D1" s="28"/>
      <c r="E1" s="28"/>
      <c r="F1" s="28"/>
      <c r="G1" s="41"/>
    </row>
    <row r="2" spans="1:7" ht="26.4" x14ac:dyDescent="0.25">
      <c r="A2" s="29" t="s">
        <v>113</v>
      </c>
      <c r="B2" s="30">
        <v>2025</v>
      </c>
      <c r="C2" s="30">
        <v>2024</v>
      </c>
      <c r="D2" s="30">
        <v>2023</v>
      </c>
      <c r="E2" s="30">
        <v>2022</v>
      </c>
      <c r="F2" s="30">
        <v>2021</v>
      </c>
    </row>
    <row r="3" spans="1:7" ht="14.4" x14ac:dyDescent="0.3">
      <c r="A3" s="31"/>
      <c r="B3" s="32" t="s">
        <v>21</v>
      </c>
      <c r="C3" s="32" t="s">
        <v>21</v>
      </c>
      <c r="D3" s="32" t="s">
        <v>21</v>
      </c>
      <c r="E3" s="32" t="s">
        <v>21</v>
      </c>
      <c r="F3" s="32" t="s">
        <v>21</v>
      </c>
      <c r="G3" s="42"/>
    </row>
    <row r="4" spans="1:7" x14ac:dyDescent="0.25">
      <c r="A4" s="33" t="s">
        <v>44</v>
      </c>
      <c r="B4" s="34"/>
      <c r="C4" s="34"/>
      <c r="D4" s="35"/>
      <c r="E4" s="35"/>
      <c r="F4" s="35"/>
    </row>
    <row r="5" spans="1:7" x14ac:dyDescent="0.25">
      <c r="A5" s="36" t="s">
        <v>45</v>
      </c>
      <c r="B5" s="37"/>
      <c r="C5" s="37"/>
      <c r="D5" s="37"/>
      <c r="E5" s="37"/>
      <c r="F5" s="37"/>
    </row>
    <row r="6" spans="1:7" x14ac:dyDescent="0.25">
      <c r="A6" s="33" t="s">
        <v>46</v>
      </c>
      <c r="B6" s="35">
        <v>3856.94</v>
      </c>
      <c r="C6" s="35">
        <v>3856.94</v>
      </c>
      <c r="D6" s="35">
        <v>3856.94</v>
      </c>
      <c r="E6" s="35">
        <v>3856.94</v>
      </c>
      <c r="F6" s="35">
        <v>3856.94</v>
      </c>
    </row>
    <row r="7" spans="1:7" x14ac:dyDescent="0.25">
      <c r="A7" s="36" t="s">
        <v>47</v>
      </c>
      <c r="B7" s="37">
        <v>4374.88</v>
      </c>
      <c r="C7" s="37">
        <v>4041.43</v>
      </c>
      <c r="D7" s="37">
        <v>4025.89</v>
      </c>
      <c r="E7" s="37">
        <v>4011.37</v>
      </c>
      <c r="F7" s="37">
        <v>3945.28</v>
      </c>
    </row>
    <row r="8" spans="1:7" x14ac:dyDescent="0.25">
      <c r="A8" s="38" t="s">
        <v>48</v>
      </c>
      <c r="B8" s="39">
        <v>49433.23</v>
      </c>
      <c r="C8" s="39">
        <v>31726.54</v>
      </c>
      <c r="D8" s="39">
        <v>12557.17</v>
      </c>
      <c r="E8" s="39">
        <v>1631.5</v>
      </c>
      <c r="F8" s="39">
        <v>-3359.35</v>
      </c>
      <c r="G8" s="44"/>
    </row>
    <row r="9" spans="1:7" x14ac:dyDescent="0.25">
      <c r="A9" s="33" t="s">
        <v>49</v>
      </c>
      <c r="B9" s="34">
        <v>49433.23</v>
      </c>
      <c r="C9" s="34">
        <v>31726.54</v>
      </c>
      <c r="D9" s="34">
        <v>12557.17</v>
      </c>
      <c r="E9" s="34">
        <v>1631.5</v>
      </c>
      <c r="F9" s="34">
        <v>-3359.35</v>
      </c>
    </row>
    <row r="10" spans="1:7" x14ac:dyDescent="0.25">
      <c r="A10" s="33" t="s">
        <v>19</v>
      </c>
      <c r="B10" s="35">
        <v>53808.11</v>
      </c>
      <c r="C10" s="35">
        <v>35767.97</v>
      </c>
      <c r="D10" s="35">
        <v>16583.060000000001</v>
      </c>
      <c r="E10" s="35">
        <v>5642.87</v>
      </c>
      <c r="F10" s="35">
        <v>585.92999999999995</v>
      </c>
    </row>
    <row r="11" spans="1:7" x14ac:dyDescent="0.25">
      <c r="A11" s="33" t="s">
        <v>43</v>
      </c>
      <c r="B11" s="35">
        <v>1326.47</v>
      </c>
      <c r="C11" s="34">
        <v>0</v>
      </c>
      <c r="D11" s="34">
        <v>0</v>
      </c>
      <c r="E11" s="34">
        <v>0</v>
      </c>
      <c r="F11" s="34">
        <v>0.01</v>
      </c>
    </row>
    <row r="12" spans="1:7" x14ac:dyDescent="0.25">
      <c r="A12" s="33" t="s">
        <v>50</v>
      </c>
      <c r="B12" s="34"/>
      <c r="C12" s="34"/>
      <c r="D12" s="34"/>
      <c r="E12" s="34"/>
      <c r="F12" s="34"/>
    </row>
    <row r="13" spans="1:7" x14ac:dyDescent="0.25">
      <c r="A13" s="33" t="s">
        <v>51</v>
      </c>
      <c r="B13" s="34">
        <v>27129.02</v>
      </c>
      <c r="C13" s="34">
        <v>26410.52</v>
      </c>
      <c r="D13" s="34">
        <v>33533.65</v>
      </c>
      <c r="E13" s="34">
        <v>37716.89</v>
      </c>
      <c r="F13" s="34">
        <v>39868.660000000003</v>
      </c>
    </row>
    <row r="14" spans="1:7" x14ac:dyDescent="0.25">
      <c r="A14" s="33" t="s">
        <v>52</v>
      </c>
      <c r="B14" s="34">
        <v>4022.73</v>
      </c>
      <c r="C14" s="34">
        <v>315.8</v>
      </c>
      <c r="D14" s="34">
        <v>0</v>
      </c>
      <c r="E14" s="34">
        <v>2499.7800000000002</v>
      </c>
      <c r="F14" s="34">
        <v>1328.08</v>
      </c>
    </row>
    <row r="15" spans="1:7" x14ac:dyDescent="0.25">
      <c r="A15" s="33" t="s">
        <v>53</v>
      </c>
      <c r="B15" s="34">
        <v>6793.69</v>
      </c>
      <c r="C15" s="34">
        <v>6242.81</v>
      </c>
      <c r="D15" s="34">
        <v>4271.47</v>
      </c>
      <c r="E15" s="34">
        <v>5541.94</v>
      </c>
      <c r="F15" s="34">
        <v>5593.93</v>
      </c>
    </row>
    <row r="16" spans="1:7" x14ac:dyDescent="0.25">
      <c r="A16" s="36" t="s">
        <v>54</v>
      </c>
      <c r="B16" s="37">
        <v>339.64</v>
      </c>
      <c r="C16" s="37">
        <v>237.45</v>
      </c>
      <c r="D16" s="37">
        <v>226.95</v>
      </c>
      <c r="E16" s="37">
        <v>220.87</v>
      </c>
      <c r="F16" s="37">
        <v>86.95</v>
      </c>
    </row>
    <row r="17" spans="1:7" x14ac:dyDescent="0.25">
      <c r="A17" s="36" t="s">
        <v>55</v>
      </c>
      <c r="B17" s="37">
        <v>38285.08</v>
      </c>
      <c r="C17" s="40">
        <v>33206.58</v>
      </c>
      <c r="D17" s="37">
        <v>38032.07</v>
      </c>
      <c r="E17" s="37">
        <v>45979.48</v>
      </c>
      <c r="F17" s="37">
        <v>46877.62</v>
      </c>
    </row>
    <row r="18" spans="1:7" x14ac:dyDescent="0.25">
      <c r="A18" s="33" t="s">
        <v>56</v>
      </c>
      <c r="B18" s="35"/>
      <c r="C18" s="35"/>
      <c r="D18" s="35"/>
      <c r="E18" s="35"/>
      <c r="F18" s="35"/>
    </row>
    <row r="19" spans="1:7" x14ac:dyDescent="0.25">
      <c r="A19" s="36" t="s">
        <v>57</v>
      </c>
      <c r="B19" s="37">
        <v>10687.92</v>
      </c>
      <c r="C19" s="40">
        <v>7861.85</v>
      </c>
      <c r="D19" s="37">
        <v>8549.4500000000007</v>
      </c>
      <c r="E19" s="37">
        <v>10924.36</v>
      </c>
      <c r="F19" s="37">
        <v>9683.32</v>
      </c>
      <c r="G19" s="44"/>
    </row>
    <row r="20" spans="1:7" x14ac:dyDescent="0.25">
      <c r="A20" s="33" t="s">
        <v>58</v>
      </c>
      <c r="B20" s="35">
        <v>2977.66</v>
      </c>
      <c r="C20" s="35">
        <v>3636.3</v>
      </c>
      <c r="D20" s="35">
        <v>3079.45</v>
      </c>
      <c r="E20" s="35">
        <v>3508.21</v>
      </c>
      <c r="F20" s="35">
        <v>3803.13</v>
      </c>
    </row>
    <row r="21" spans="1:7" x14ac:dyDescent="0.25">
      <c r="A21" s="33" t="s">
        <v>59</v>
      </c>
      <c r="B21" s="35">
        <v>2705.17</v>
      </c>
      <c r="C21" s="35">
        <v>4264.83</v>
      </c>
      <c r="D21" s="35">
        <v>6094.05</v>
      </c>
      <c r="E21" s="35">
        <v>2682.39</v>
      </c>
      <c r="F21" s="35">
        <v>4910.29</v>
      </c>
    </row>
    <row r="22" spans="1:7" x14ac:dyDescent="0.25">
      <c r="A22" s="33" t="s">
        <v>60</v>
      </c>
      <c r="B22" s="34">
        <v>70.239999999999995</v>
      </c>
      <c r="C22" s="35">
        <v>25.69</v>
      </c>
      <c r="D22" s="34">
        <v>21.64</v>
      </c>
      <c r="E22" s="34">
        <v>28.71</v>
      </c>
      <c r="F22" s="34">
        <v>60.17</v>
      </c>
    </row>
    <row r="23" spans="1:7" x14ac:dyDescent="0.25">
      <c r="A23" s="36" t="s">
        <v>17</v>
      </c>
      <c r="B23" s="37">
        <v>16440.990000000002</v>
      </c>
      <c r="C23" s="40">
        <v>15788.67</v>
      </c>
      <c r="D23" s="37">
        <v>17744.59</v>
      </c>
      <c r="E23" s="37">
        <v>17143.669999999998</v>
      </c>
      <c r="F23" s="37">
        <v>18456.91</v>
      </c>
    </row>
    <row r="24" spans="1:7" x14ac:dyDescent="0.25">
      <c r="A24" s="36" t="s">
        <v>61</v>
      </c>
      <c r="B24" s="37">
        <v>112917.57</v>
      </c>
      <c r="C24" s="40">
        <v>92324.77</v>
      </c>
      <c r="D24" s="37">
        <v>85821.27</v>
      </c>
      <c r="E24" s="37">
        <v>81981.02</v>
      </c>
      <c r="F24" s="37">
        <v>78535.47</v>
      </c>
    </row>
    <row r="25" spans="1:7" x14ac:dyDescent="0.25">
      <c r="A25" s="36" t="s">
        <v>62</v>
      </c>
      <c r="B25" s="37"/>
      <c r="C25" s="40"/>
      <c r="D25" s="37"/>
      <c r="E25" s="37"/>
      <c r="F25" s="37"/>
    </row>
    <row r="26" spans="1:7" x14ac:dyDescent="0.25">
      <c r="A26" s="36" t="s">
        <v>63</v>
      </c>
      <c r="B26" s="37"/>
      <c r="C26" s="40"/>
      <c r="D26" s="37"/>
      <c r="E26" s="37"/>
      <c r="F26" s="37"/>
    </row>
    <row r="27" spans="1:7" x14ac:dyDescent="0.25">
      <c r="A27" s="33" t="s">
        <v>64</v>
      </c>
      <c r="B27" s="35">
        <v>69075.740000000005</v>
      </c>
      <c r="C27" s="35">
        <v>62812.71</v>
      </c>
      <c r="D27" s="35">
        <v>51248.74</v>
      </c>
      <c r="E27" s="35">
        <v>53071.62</v>
      </c>
      <c r="F27" s="35">
        <v>52575.24</v>
      </c>
    </row>
    <row r="28" spans="1:7" ht="30" customHeight="1" x14ac:dyDescent="0.25">
      <c r="A28" s="36" t="s">
        <v>65</v>
      </c>
      <c r="B28" s="37">
        <v>17.190000000000001</v>
      </c>
      <c r="C28" s="37">
        <v>12.53</v>
      </c>
      <c r="D28" s="37">
        <v>12.03</v>
      </c>
      <c r="E28" s="37">
        <v>11.98</v>
      </c>
      <c r="F28" s="37">
        <v>85.45</v>
      </c>
    </row>
    <row r="29" spans="1:7" x14ac:dyDescent="0.25">
      <c r="A29" s="33" t="s">
        <v>66</v>
      </c>
      <c r="B29" s="35">
        <v>12104.42</v>
      </c>
      <c r="C29" s="35">
        <v>925.12</v>
      </c>
      <c r="D29" s="35">
        <v>12879.54</v>
      </c>
      <c r="E29" s="35">
        <v>10269.74</v>
      </c>
      <c r="F29" s="35">
        <v>6439.42</v>
      </c>
    </row>
    <row r="30" spans="1:7" x14ac:dyDescent="0.25">
      <c r="A30" s="48" t="s">
        <v>67</v>
      </c>
      <c r="B30" s="48">
        <v>81197.350000000006</v>
      </c>
      <c r="C30" s="48">
        <v>63750.36</v>
      </c>
      <c r="D30" s="48">
        <v>64140.31</v>
      </c>
      <c r="E30" s="48">
        <v>63353.34</v>
      </c>
      <c r="F30" s="48">
        <v>59100.11</v>
      </c>
    </row>
    <row r="31" spans="1:7" x14ac:dyDescent="0.25">
      <c r="A31" s="48" t="s">
        <v>68</v>
      </c>
      <c r="B31" s="48">
        <v>59.51</v>
      </c>
      <c r="C31" s="48">
        <v>0.01</v>
      </c>
      <c r="D31" s="48">
        <v>42.51</v>
      </c>
      <c r="E31" s="48">
        <v>0.01</v>
      </c>
      <c r="F31" s="48">
        <v>0.01</v>
      </c>
    </row>
    <row r="32" spans="1:7" x14ac:dyDescent="0.25">
      <c r="A32" s="48" t="s">
        <v>77</v>
      </c>
      <c r="B32" s="48">
        <v>0</v>
      </c>
      <c r="C32" s="48">
        <v>376.34</v>
      </c>
      <c r="D32" s="48">
        <v>0</v>
      </c>
      <c r="E32" s="48">
        <v>0</v>
      </c>
      <c r="F32" s="48">
        <v>0</v>
      </c>
    </row>
    <row r="33" spans="1:6" x14ac:dyDescent="0.25">
      <c r="A33" s="48" t="s">
        <v>69</v>
      </c>
      <c r="B33" s="48">
        <v>0</v>
      </c>
      <c r="C33" s="48">
        <v>0</v>
      </c>
      <c r="D33" s="48">
        <v>0</v>
      </c>
      <c r="E33" s="48">
        <v>0</v>
      </c>
      <c r="F33" s="48">
        <v>0</v>
      </c>
    </row>
    <row r="34" spans="1:6" x14ac:dyDescent="0.25">
      <c r="A34" s="48" t="s">
        <v>70</v>
      </c>
      <c r="B34" s="48">
        <v>5126.96</v>
      </c>
      <c r="C34" s="48">
        <v>2420.87</v>
      </c>
      <c r="D34" s="48">
        <v>1894.84</v>
      </c>
      <c r="E34" s="48">
        <v>2208.9899999999998</v>
      </c>
      <c r="F34" s="48">
        <v>1872.83</v>
      </c>
    </row>
    <row r="35" spans="1:6" x14ac:dyDescent="0.25">
      <c r="A35" s="48" t="s">
        <v>71</v>
      </c>
      <c r="B35" s="48">
        <v>86588.34</v>
      </c>
      <c r="C35" s="48">
        <v>66738.19</v>
      </c>
      <c r="D35" s="48">
        <v>66268.27</v>
      </c>
      <c r="E35" s="48">
        <v>65752.95</v>
      </c>
      <c r="F35" s="48">
        <v>61163.56</v>
      </c>
    </row>
    <row r="36" spans="1:6" x14ac:dyDescent="0.25">
      <c r="A36" s="48" t="s">
        <v>72</v>
      </c>
      <c r="B36" s="48"/>
      <c r="C36" s="48"/>
      <c r="D36" s="48"/>
      <c r="E36" s="48"/>
      <c r="F36" s="48"/>
    </row>
    <row r="37" spans="1:6" x14ac:dyDescent="0.25">
      <c r="A37" s="48" t="s">
        <v>78</v>
      </c>
      <c r="B37" s="48">
        <v>1037.7</v>
      </c>
      <c r="C37" s="48">
        <v>373.5</v>
      </c>
      <c r="D37" s="48">
        <v>611.54</v>
      </c>
      <c r="E37" s="48">
        <v>183.24</v>
      </c>
      <c r="F37" s="48">
        <v>20.09</v>
      </c>
    </row>
    <row r="38" spans="1:6" x14ac:dyDescent="0.25">
      <c r="A38" s="48" t="s">
        <v>13</v>
      </c>
      <c r="B38" s="48">
        <v>3317.28</v>
      </c>
      <c r="C38" s="48">
        <v>4142.1000000000004</v>
      </c>
      <c r="D38" s="48">
        <v>3075.2</v>
      </c>
      <c r="E38" s="48">
        <v>2258.27</v>
      </c>
      <c r="F38" s="48">
        <v>2025.11</v>
      </c>
    </row>
    <row r="39" spans="1:6" x14ac:dyDescent="0.25">
      <c r="A39" s="48" t="s">
        <v>73</v>
      </c>
      <c r="B39" s="48">
        <v>13022.07</v>
      </c>
      <c r="C39" s="48">
        <v>11677.48</v>
      </c>
      <c r="D39" s="48">
        <v>11529.36</v>
      </c>
      <c r="E39" s="48">
        <v>9560.92</v>
      </c>
      <c r="F39" s="48">
        <v>11437.92</v>
      </c>
    </row>
    <row r="40" spans="1:6" x14ac:dyDescent="0.25">
      <c r="A40" s="48" t="s">
        <v>74</v>
      </c>
      <c r="B40" s="48">
        <v>6119.88</v>
      </c>
      <c r="C40" s="48">
        <v>7211.76</v>
      </c>
      <c r="D40" s="48">
        <v>1873.65</v>
      </c>
      <c r="E40" s="48">
        <v>2364.6799999999998</v>
      </c>
      <c r="F40" s="48">
        <v>1607.32</v>
      </c>
    </row>
    <row r="41" spans="1:6" x14ac:dyDescent="0.25">
      <c r="A41" s="48" t="s">
        <v>75</v>
      </c>
      <c r="B41" s="48">
        <v>6.82</v>
      </c>
      <c r="C41" s="48">
        <v>3.49</v>
      </c>
      <c r="D41" s="48">
        <v>3.19</v>
      </c>
      <c r="E41" s="48">
        <v>7.62</v>
      </c>
      <c r="F41" s="48">
        <v>8.83</v>
      </c>
    </row>
    <row r="42" spans="1:6" x14ac:dyDescent="0.25">
      <c r="A42" s="48" t="s">
        <v>76</v>
      </c>
      <c r="B42" s="48">
        <v>2825.48</v>
      </c>
      <c r="C42" s="48">
        <v>2178.25</v>
      </c>
      <c r="D42" s="48">
        <v>2460.06</v>
      </c>
      <c r="E42" s="48">
        <v>1853.34</v>
      </c>
      <c r="F42" s="48">
        <v>2272.64</v>
      </c>
    </row>
    <row r="43" spans="1:6" x14ac:dyDescent="0.25">
      <c r="A43" s="48" t="s">
        <v>18</v>
      </c>
      <c r="B43" s="48">
        <v>26329.23</v>
      </c>
      <c r="C43" s="48">
        <v>25586.58</v>
      </c>
      <c r="D43" s="48">
        <v>19553</v>
      </c>
      <c r="E43" s="48">
        <v>16228.07</v>
      </c>
      <c r="F43" s="48">
        <v>17371.91</v>
      </c>
    </row>
    <row r="44" spans="1:6" x14ac:dyDescent="0.25">
      <c r="A44" s="48" t="s">
        <v>14</v>
      </c>
      <c r="B44" s="48">
        <v>112917.57</v>
      </c>
      <c r="C44" s="48">
        <v>92324.77</v>
      </c>
      <c r="D44" s="48">
        <v>85821.27</v>
      </c>
      <c r="E44" s="48">
        <v>81981.02</v>
      </c>
      <c r="F44" s="48">
        <v>78535.47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6"/>
  <sheetViews>
    <sheetView workbookViewId="0">
      <selection activeCell="M55" sqref="M55"/>
    </sheetView>
  </sheetViews>
  <sheetFormatPr defaultRowHeight="13.8" x14ac:dyDescent="0.25"/>
  <cols>
    <col min="1" max="1" width="25.8984375" customWidth="1"/>
    <col min="2" max="2" width="11.3984375" customWidth="1"/>
    <col min="3" max="6" width="8.09765625" bestFit="1" customWidth="1"/>
    <col min="7" max="7" width="8.59765625"/>
  </cols>
  <sheetData>
    <row r="1" spans="1:7" ht="26.4" x14ac:dyDescent="0.25">
      <c r="A1" s="27" t="s">
        <v>114</v>
      </c>
      <c r="B1" s="28">
        <v>45717</v>
      </c>
      <c r="C1" s="28">
        <v>45352</v>
      </c>
      <c r="D1" s="28">
        <v>44986</v>
      </c>
      <c r="E1" s="28">
        <v>44621</v>
      </c>
      <c r="F1" s="28">
        <v>44256</v>
      </c>
      <c r="G1" s="41"/>
    </row>
    <row r="2" spans="1:7" x14ac:dyDescent="0.25">
      <c r="A2" s="29"/>
      <c r="B2" s="30" t="s">
        <v>21</v>
      </c>
      <c r="C2" s="30" t="s">
        <v>21</v>
      </c>
      <c r="D2" s="30" t="s">
        <v>21</v>
      </c>
      <c r="E2" s="30" t="s">
        <v>21</v>
      </c>
      <c r="F2" s="30" t="s">
        <v>21</v>
      </c>
    </row>
    <row r="3" spans="1:7" ht="26.4" x14ac:dyDescent="0.3">
      <c r="A3" s="31" t="s">
        <v>115</v>
      </c>
      <c r="B3" s="32">
        <v>16359.51</v>
      </c>
      <c r="C3" s="32">
        <v>20791.509999999998</v>
      </c>
      <c r="D3" s="32">
        <v>7674.7</v>
      </c>
      <c r="E3" s="32">
        <v>6577.13</v>
      </c>
      <c r="F3" s="32">
        <v>2288.7399999999998</v>
      </c>
      <c r="G3" s="42"/>
    </row>
    <row r="4" spans="1:7" ht="26.4" x14ac:dyDescent="0.25">
      <c r="A4" s="33" t="s">
        <v>79</v>
      </c>
      <c r="B4" s="34">
        <v>21501.11</v>
      </c>
      <c r="C4" s="34">
        <v>14170.15</v>
      </c>
      <c r="D4" s="35">
        <v>8430.5300000000007</v>
      </c>
      <c r="E4" s="35">
        <v>10232.73</v>
      </c>
      <c r="F4" s="35">
        <v>7014.35</v>
      </c>
    </row>
    <row r="5" spans="1:7" ht="26.4" x14ac:dyDescent="0.25">
      <c r="A5" s="46" t="s">
        <v>80</v>
      </c>
      <c r="B5" s="37">
        <v>-17142.05</v>
      </c>
      <c r="C5" s="37">
        <v>3485.03</v>
      </c>
      <c r="D5" s="37">
        <v>1544.43</v>
      </c>
      <c r="E5" s="37">
        <v>572.11</v>
      </c>
      <c r="F5" s="37">
        <v>-2187.5700000000002</v>
      </c>
    </row>
    <row r="6" spans="1:7" ht="26.4" x14ac:dyDescent="0.25">
      <c r="A6" s="33" t="s">
        <v>81</v>
      </c>
      <c r="B6" s="35">
        <v>-5175.45</v>
      </c>
      <c r="C6" s="35">
        <v>-16864.03</v>
      </c>
      <c r="D6" s="35">
        <v>-10408.459999999999</v>
      </c>
      <c r="E6" s="35">
        <v>-10337.86</v>
      </c>
      <c r="F6" s="35">
        <v>-5654.84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QP_Dashboard</vt:lpstr>
      <vt:lpstr>Q1.</vt:lpstr>
      <vt:lpstr>Q2</vt:lpstr>
      <vt:lpstr>Q3</vt:lpstr>
      <vt:lpstr>Q4</vt:lpstr>
      <vt:lpstr>Source&gt;&gt;IS</vt:lpstr>
      <vt:lpstr>Source&gt;&gt;BS</vt:lpstr>
      <vt:lpstr>Source&gt;&gt;CFS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Sudhi Sharma</dc:creator>
  <cp:lastModifiedBy>Aruneshwar Thakur</cp:lastModifiedBy>
  <cp:lastPrinted>2025-09-17T11:39:18Z</cp:lastPrinted>
  <dcterms:created xsi:type="dcterms:W3CDTF">2021-11-19T12:21:37Z</dcterms:created>
  <dcterms:modified xsi:type="dcterms:W3CDTF">2026-07-06T23:18:40Z</dcterms:modified>
</cp:coreProperties>
</file>