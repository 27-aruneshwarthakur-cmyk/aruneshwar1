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38e27ef67adf87/Desktop/"/>
    </mc:Choice>
  </mc:AlternateContent>
  <xr:revisionPtr revIDLastSave="0" documentId="8_{D0DD7036-C1A1-4D2D-842C-F79E7C671EE3}" xr6:coauthVersionLast="47" xr6:coauthVersionMax="47" xr10:uidLastSave="{00000000-0000-0000-0000-000000000000}"/>
  <bookViews>
    <workbookView xWindow="-108" yWindow="-108" windowWidth="23256" windowHeight="12456" xr2:uid="{10292A0B-F178-4EBB-90B0-CE6CA710649F}"/>
  </bookViews>
  <sheets>
    <sheet name="Income Statement" sheetId="1" r:id="rId1"/>
    <sheet name="Balance Sheet" sheetId="2" r:id="rId2"/>
    <sheet name="Cash Flow Statement" sheetId="3" r:id="rId3"/>
    <sheet name="WACC" sheetId="4" r:id="rId4"/>
    <sheet name="DCF Valuation" sheetId="5" r:id="rId5"/>
    <sheet name="Revenue &amp; Cost Drivers" sheetId="6" r:id="rId6"/>
    <sheet name="Capacity Expansion" sheetId="7" r:id="rId7"/>
    <sheet name="Debt Schedule" sheetId="8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4" l="1"/>
  <c r="B7" i="4"/>
  <c r="B19" i="5"/>
  <c r="C19" i="5" s="1"/>
  <c r="D19" i="5" s="1"/>
  <c r="E19" i="5" s="1"/>
  <c r="F19" i="5" s="1"/>
  <c r="B31" i="5"/>
  <c r="B30" i="5"/>
  <c r="B25" i="5"/>
  <c r="G7" i="5" s="1"/>
  <c r="C7" i="5"/>
  <c r="D7" i="5"/>
  <c r="E7" i="5"/>
  <c r="F7" i="5"/>
  <c r="B7" i="5"/>
  <c r="D19" i="8"/>
  <c r="E19" i="8"/>
  <c r="F19" i="8"/>
  <c r="G19" i="8"/>
  <c r="C19" i="8"/>
  <c r="B16" i="8"/>
  <c r="B15" i="8"/>
  <c r="B8" i="8"/>
  <c r="B7" i="8"/>
  <c r="B25" i="7"/>
  <c r="B24" i="7"/>
  <c r="B26" i="7"/>
  <c r="B19" i="7"/>
  <c r="B20" i="7"/>
  <c r="C18" i="7"/>
  <c r="D18" i="7"/>
  <c r="E18" i="7"/>
  <c r="F18" i="7"/>
  <c r="G18" i="7"/>
  <c r="B18" i="7"/>
  <c r="B12" i="7"/>
  <c r="B9" i="7"/>
  <c r="B7" i="7"/>
  <c r="B8" i="7" s="1"/>
  <c r="D9" i="7"/>
  <c r="E9" i="7"/>
  <c r="F9" i="7"/>
  <c r="G9" i="7"/>
  <c r="C9" i="7"/>
  <c r="C18" i="6"/>
  <c r="D18" i="6"/>
  <c r="E18" i="6"/>
  <c r="F18" i="6"/>
  <c r="G18" i="6"/>
  <c r="B17" i="6"/>
  <c r="B18" i="6" s="1"/>
  <c r="B19" i="6" s="1"/>
  <c r="B13" i="6"/>
  <c r="B24" i="6" s="1"/>
  <c r="B9" i="6"/>
  <c r="C9" i="6" s="1"/>
  <c r="D9" i="6" s="1"/>
  <c r="E9" i="6" s="1"/>
  <c r="F9" i="6" s="1"/>
  <c r="G9" i="6" s="1"/>
  <c r="C7" i="6"/>
  <c r="C7" i="7" s="1"/>
  <c r="B17" i="4"/>
  <c r="B11" i="4"/>
  <c r="B13" i="4" s="1"/>
  <c r="B5" i="4"/>
  <c r="B25" i="3"/>
  <c r="C24" i="3"/>
  <c r="C21" i="3"/>
  <c r="B21" i="3"/>
  <c r="C15" i="3"/>
  <c r="B15" i="3"/>
  <c r="C10" i="3"/>
  <c r="C9" i="3"/>
  <c r="C8" i="3"/>
  <c r="C7" i="3"/>
  <c r="B7" i="3"/>
  <c r="C23" i="2"/>
  <c r="B16" i="4" s="1"/>
  <c r="B23" i="2"/>
  <c r="C16" i="2"/>
  <c r="C18" i="2" s="1"/>
  <c r="B16" i="2"/>
  <c r="B18" i="2" s="1"/>
  <c r="C9" i="2"/>
  <c r="C11" i="2" s="1"/>
  <c r="B9" i="2"/>
  <c r="B11" i="2" s="1"/>
  <c r="C9" i="1"/>
  <c r="B9" i="1"/>
  <c r="C7" i="1"/>
  <c r="B18" i="8" l="1"/>
  <c r="C15" i="8" s="1"/>
  <c r="B19" i="8"/>
  <c r="B20" i="8" s="1"/>
  <c r="B10" i="8"/>
  <c r="B12" i="8"/>
  <c r="B21" i="7"/>
  <c r="B27" i="7"/>
  <c r="C12" i="7"/>
  <c r="B13" i="7"/>
  <c r="C8" i="7"/>
  <c r="B20" i="6"/>
  <c r="B22" i="6"/>
  <c r="C11" i="6"/>
  <c r="C13" i="6" s="1"/>
  <c r="C19" i="6"/>
  <c r="D7" i="6"/>
  <c r="C25" i="2"/>
  <c r="C26" i="2" s="1"/>
  <c r="B8" i="4"/>
  <c r="B18" i="4"/>
  <c r="B25" i="2"/>
  <c r="B26" i="2" s="1"/>
  <c r="C20" i="1"/>
  <c r="C12" i="1"/>
  <c r="B20" i="1"/>
  <c r="B12" i="1"/>
  <c r="B23" i="8" l="1"/>
  <c r="B6" i="5"/>
  <c r="B16" i="5" s="1"/>
  <c r="B24" i="8"/>
  <c r="C20" i="8"/>
  <c r="C7" i="8"/>
  <c r="C17" i="8"/>
  <c r="C18" i="8" s="1"/>
  <c r="D15" i="8" s="1"/>
  <c r="C24" i="7"/>
  <c r="C20" i="7"/>
  <c r="B15" i="7"/>
  <c r="B14" i="7"/>
  <c r="D12" i="7"/>
  <c r="C13" i="7"/>
  <c r="D7" i="7"/>
  <c r="D8" i="7" s="1"/>
  <c r="C22" i="6"/>
  <c r="C24" i="6"/>
  <c r="C20" i="6"/>
  <c r="D11" i="6"/>
  <c r="D13" i="6" s="1"/>
  <c r="D19" i="6"/>
  <c r="E7" i="6"/>
  <c r="E7" i="7" s="1"/>
  <c r="E8" i="7" s="1"/>
  <c r="B20" i="4"/>
  <c r="B19" i="4"/>
  <c r="C14" i="1"/>
  <c r="C16" i="1" s="1"/>
  <c r="C18" i="1" s="1"/>
  <c r="C21" i="1"/>
  <c r="B14" i="1"/>
  <c r="B16" i="1" s="1"/>
  <c r="B18" i="1" s="1"/>
  <c r="B21" i="1"/>
  <c r="B8" i="5" l="1"/>
  <c r="B22" i="4"/>
  <c r="F20" i="5" s="1"/>
  <c r="D24" i="6"/>
  <c r="C6" i="5"/>
  <c r="C16" i="5" s="1"/>
  <c r="C10" i="8"/>
  <c r="C12" i="8"/>
  <c r="C24" i="8" s="1"/>
  <c r="D20" i="8"/>
  <c r="D17" i="8"/>
  <c r="D18" i="8" s="1"/>
  <c r="E15" i="8" s="1"/>
  <c r="C26" i="7"/>
  <c r="B10" i="5" s="1"/>
  <c r="B14" i="5" s="1"/>
  <c r="C14" i="7"/>
  <c r="C19" i="7" s="1"/>
  <c r="C21" i="7" s="1"/>
  <c r="B15" i="5" s="1"/>
  <c r="C15" i="7"/>
  <c r="E12" i="7"/>
  <c r="D13" i="7"/>
  <c r="F12" i="7"/>
  <c r="D20" i="6"/>
  <c r="D22" i="6"/>
  <c r="E11" i="6"/>
  <c r="E13" i="6" s="1"/>
  <c r="E19" i="6"/>
  <c r="F7" i="6"/>
  <c r="F7" i="7" s="1"/>
  <c r="F8" i="7" s="1"/>
  <c r="C22" i="1"/>
  <c r="C6" i="3"/>
  <c r="C11" i="3" s="1"/>
  <c r="C23" i="3" s="1"/>
  <c r="C25" i="3" s="1"/>
  <c r="C26" i="3" s="1"/>
  <c r="B22" i="1"/>
  <c r="B6" i="3"/>
  <c r="B11" i="3" s="1"/>
  <c r="B23" i="3" s="1"/>
  <c r="D20" i="5" l="1"/>
  <c r="E20" i="5"/>
  <c r="B20" i="5"/>
  <c r="C20" i="5"/>
  <c r="B26" i="5"/>
  <c r="C25" i="7"/>
  <c r="C27" i="7" s="1"/>
  <c r="B9" i="5"/>
  <c r="B11" i="5"/>
  <c r="C8" i="5"/>
  <c r="D6" i="5"/>
  <c r="D16" i="5" s="1"/>
  <c r="C23" i="8"/>
  <c r="D7" i="8"/>
  <c r="E20" i="8"/>
  <c r="E17" i="8"/>
  <c r="E18" i="8" s="1"/>
  <c r="F15" i="8" s="1"/>
  <c r="E13" i="7"/>
  <c r="D14" i="7"/>
  <c r="D19" i="7" s="1"/>
  <c r="D15" i="7"/>
  <c r="G12" i="7"/>
  <c r="F13" i="7"/>
  <c r="E22" i="6"/>
  <c r="E24" i="6"/>
  <c r="E20" i="6"/>
  <c r="F11" i="6"/>
  <c r="F13" i="6" s="1"/>
  <c r="F19" i="6"/>
  <c r="G7" i="6"/>
  <c r="G7" i="7" s="1"/>
  <c r="G8" i="7" s="1"/>
  <c r="B12" i="5" l="1"/>
  <c r="B13" i="5" s="1"/>
  <c r="B17" i="5" s="1"/>
  <c r="B21" i="5" s="1"/>
  <c r="C9" i="5"/>
  <c r="D8" i="5"/>
  <c r="E6" i="5"/>
  <c r="E16" i="5" s="1"/>
  <c r="D12" i="8"/>
  <c r="D24" i="8" s="1"/>
  <c r="D10" i="8"/>
  <c r="F17" i="8"/>
  <c r="F18" i="8" s="1"/>
  <c r="G15" i="8" s="1"/>
  <c r="G17" i="8" s="1"/>
  <c r="G18" i="8" s="1"/>
  <c r="F20" i="8"/>
  <c r="D24" i="7"/>
  <c r="D26" i="7" s="1"/>
  <c r="C10" i="5" s="1"/>
  <c r="D20" i="7"/>
  <c r="D21" i="7" s="1"/>
  <c r="E14" i="7"/>
  <c r="E19" i="7" s="1"/>
  <c r="E15" i="7"/>
  <c r="F14" i="7"/>
  <c r="F19" i="7" s="1"/>
  <c r="F15" i="7"/>
  <c r="G13" i="7"/>
  <c r="F22" i="6"/>
  <c r="F24" i="6"/>
  <c r="F20" i="6"/>
  <c r="G11" i="6"/>
  <c r="G13" i="6" s="1"/>
  <c r="G19" i="6"/>
  <c r="D25" i="7" l="1"/>
  <c r="D27" i="7" s="1"/>
  <c r="C15" i="5"/>
  <c r="C11" i="5"/>
  <c r="C12" i="5" s="1"/>
  <c r="C13" i="5" s="1"/>
  <c r="C14" i="5"/>
  <c r="D9" i="5"/>
  <c r="E8" i="5"/>
  <c r="F6" i="5"/>
  <c r="E7" i="8"/>
  <c r="D23" i="8"/>
  <c r="G20" i="8"/>
  <c r="G14" i="7"/>
  <c r="G19" i="7" s="1"/>
  <c r="G15" i="7"/>
  <c r="G22" i="6"/>
  <c r="G24" i="6"/>
  <c r="G20" i="6"/>
  <c r="C17" i="5" l="1"/>
  <c r="C21" i="5" s="1"/>
  <c r="G6" i="5"/>
  <c r="G16" i="5" s="1"/>
  <c r="F16" i="5"/>
  <c r="E9" i="5"/>
  <c r="F8" i="5"/>
  <c r="E12" i="8"/>
  <c r="E24" i="8" s="1"/>
  <c r="E10" i="8"/>
  <c r="E24" i="7"/>
  <c r="E26" i="7" s="1"/>
  <c r="D10" i="5" s="1"/>
  <c r="E20" i="7"/>
  <c r="E21" i="7" s="1"/>
  <c r="E25" i="7" l="1"/>
  <c r="E27" i="7" s="1"/>
  <c r="D15" i="5"/>
  <c r="D11" i="5"/>
  <c r="D12" i="5" s="1"/>
  <c r="D13" i="5" s="1"/>
  <c r="D14" i="5"/>
  <c r="F9" i="5"/>
  <c r="G8" i="5" s="1"/>
  <c r="F7" i="8"/>
  <c r="E23" i="8"/>
  <c r="D17" i="5" l="1"/>
  <c r="D21" i="5" s="1"/>
  <c r="G9" i="5"/>
  <c r="F10" i="8"/>
  <c r="F12" i="8"/>
  <c r="F24" i="8" s="1"/>
  <c r="F20" i="7"/>
  <c r="F21" i="7" s="1"/>
  <c r="F24" i="7"/>
  <c r="F25" i="7" l="1"/>
  <c r="E15" i="5"/>
  <c r="F23" i="8"/>
  <c r="G7" i="8"/>
  <c r="F26" i="7"/>
  <c r="F27" i="7" l="1"/>
  <c r="E10" i="5"/>
  <c r="G12" i="8"/>
  <c r="G24" i="8" s="1"/>
  <c r="G10" i="8"/>
  <c r="G23" i="8" s="1"/>
  <c r="E11" i="5" l="1"/>
  <c r="E12" i="5" s="1"/>
  <c r="E13" i="5" s="1"/>
  <c r="E14" i="5"/>
  <c r="G24" i="7"/>
  <c r="G26" i="7" s="1"/>
  <c r="G20" i="7"/>
  <c r="G21" i="7" s="1"/>
  <c r="E17" i="5" l="1"/>
  <c r="E21" i="5" s="1"/>
  <c r="G25" i="7"/>
  <c r="G27" i="7" s="1"/>
  <c r="F15" i="5"/>
  <c r="G15" i="5" s="1"/>
  <c r="F10" i="5"/>
  <c r="F14" i="5" s="1"/>
  <c r="G10" i="5" l="1"/>
  <c r="F11" i="5"/>
  <c r="G11" i="5" l="1"/>
  <c r="G14" i="5"/>
  <c r="F12" i="5"/>
  <c r="F13" i="5" s="1"/>
  <c r="F17" i="5" s="1"/>
  <c r="F21" i="5" s="1"/>
  <c r="B24" i="5" s="1"/>
  <c r="G12" i="5" l="1"/>
  <c r="G13" i="5" s="1"/>
  <c r="G17" i="5" s="1"/>
  <c r="B27" i="5" s="1"/>
  <c r="B28" i="5" s="1"/>
  <c r="B29" i="5" s="1"/>
  <c r="B32" i="5" s="1"/>
  <c r="B34" i="5" s="1"/>
</calcChain>
</file>

<file path=xl/sharedStrings.xml><?xml version="1.0" encoding="utf-8"?>
<sst xmlns="http://schemas.openxmlformats.org/spreadsheetml/2006/main" count="212" uniqueCount="172">
  <si>
    <t>VoltDrive Motors — EV Automobile Manufacturer</t>
  </si>
  <si>
    <t>Income Statement ($ in millions)</t>
  </si>
  <si>
    <t>FY2024A</t>
  </si>
  <si>
    <t>FY2025A</t>
  </si>
  <si>
    <t>Revenue</t>
  </si>
  <si>
    <t>Revenue Growth %</t>
  </si>
  <si>
    <t>Cost of Goods Sold</t>
  </si>
  <si>
    <t>Gross Profit</t>
  </si>
  <si>
    <t>R&amp;D Expense</t>
  </si>
  <si>
    <t>SG&amp;A Expense</t>
  </si>
  <si>
    <t>EBITDA</t>
  </si>
  <si>
    <t>Depreciation &amp; Amortization</t>
  </si>
  <si>
    <t>EBIT</t>
  </si>
  <si>
    <t>Interest Expense</t>
  </si>
  <si>
    <t>EBT (Pre-tax Income)</t>
  </si>
  <si>
    <t>Tax Expense</t>
  </si>
  <si>
    <t>Net Income</t>
  </si>
  <si>
    <t>Gross Margin %</t>
  </si>
  <si>
    <t>EBITDA Margin %</t>
  </si>
  <si>
    <t>Net Margin %</t>
  </si>
  <si>
    <t>Balance Sheet ($ in millions)</t>
  </si>
  <si>
    <t>Assets</t>
  </si>
  <si>
    <t>Cash &amp; Equivalents</t>
  </si>
  <si>
    <t>Accounts Receivable</t>
  </si>
  <si>
    <t>Inventory</t>
  </si>
  <si>
    <t>Total Current Assets</t>
  </si>
  <si>
    <t>Net PP&amp;E (incl. Gigafactory)</t>
  </si>
  <si>
    <t>Total Assets</t>
  </si>
  <si>
    <t>Liabilities</t>
  </si>
  <si>
    <t>Accounts Payable</t>
  </si>
  <si>
    <t>Short-term Debt</t>
  </si>
  <si>
    <t>Total Current Liabilities</t>
  </si>
  <si>
    <t>Long-term Debt</t>
  </si>
  <si>
    <t>Total Liabilities</t>
  </si>
  <si>
    <t>Equity</t>
  </si>
  <si>
    <t>Common Stock &amp; APIC</t>
  </si>
  <si>
    <t>Retained Earnings</t>
  </si>
  <si>
    <t>Total Equity</t>
  </si>
  <si>
    <t>Total Liabilities &amp; Equity</t>
  </si>
  <si>
    <t>Balance Check (should be 0)</t>
  </si>
  <si>
    <t>Cash Flow Statement ($ in millions)</t>
  </si>
  <si>
    <t>Operating Activities</t>
  </si>
  <si>
    <t>Add: D&amp;A</t>
  </si>
  <si>
    <t>(Incr)/Decr in Accounts Receivable</t>
  </si>
  <si>
    <t>N/A (base year)</t>
  </si>
  <si>
    <t>(Incr)/Decr in Inventory</t>
  </si>
  <si>
    <t>Incr/(Decr) in Accounts Payable</t>
  </si>
  <si>
    <t>Net Cash from Operating Activities</t>
  </si>
  <si>
    <t>Investing Activities</t>
  </si>
  <si>
    <t>Capital Expenditures</t>
  </si>
  <si>
    <t>Net Cash from Investing Activities</t>
  </si>
  <si>
    <t>Financing Activities</t>
  </si>
  <si>
    <t>Debt Issued</t>
  </si>
  <si>
    <t>Debt Repaid</t>
  </si>
  <si>
    <t>Equity Issued</t>
  </si>
  <si>
    <t>Net Cash from Financing Activities</t>
  </si>
  <si>
    <t>Net Change in Cash</t>
  </si>
  <si>
    <t>Beginning Cash Balance</t>
  </si>
  <si>
    <t>Ending Cash Balance</t>
  </si>
  <si>
    <t>Check vs. Balance Sheet Cash (should be 0)</t>
  </si>
  <si>
    <t>VoltDrive Motors — WACC Calculation Template</t>
  </si>
  <si>
    <t>Fill in the yellow input cells and build the formulas in column B. Column D gives guidance only.</t>
  </si>
  <si>
    <t>Cost of Equity (CAPM)</t>
  </si>
  <si>
    <t>Risk-Free Rate (Rf)</t>
  </si>
  <si>
    <t>e.g., 10-yr Treasury yield</t>
  </si>
  <si>
    <t>Levered Beta</t>
  </si>
  <si>
    <t>From comparable EV OEM public betas</t>
  </si>
  <si>
    <t>Equity Market Risk Premium (Rm – Rf)</t>
  </si>
  <si>
    <t>Historical or implied ERP</t>
  </si>
  <si>
    <t>Cost of Equity (Ke)</t>
  </si>
  <si>
    <t>Ke = Rf + Beta × ERP</t>
  </si>
  <si>
    <t>Cost of Debt</t>
  </si>
  <si>
    <t>Pre-tax Cost of Debt (Kd)</t>
  </si>
  <si>
    <t>Try: Interest Expense / Total Debt from IS &amp; BS tabs</t>
  </si>
  <si>
    <t>Marginal Tax Rate (t)</t>
  </si>
  <si>
    <t>Statutory corporate tax rate</t>
  </si>
  <si>
    <t>After-tax Cost of Debt</t>
  </si>
  <si>
    <t>Kd × (1 – t)</t>
  </si>
  <si>
    <t>Capital Structure (Market Value Weights)</t>
  </si>
  <si>
    <t>Market Value of Equity (E)</t>
  </si>
  <si>
    <t>Share price × shares outstanding (or latest funding round valuation)</t>
  </si>
  <si>
    <t>Market Value of Debt (D)</t>
  </si>
  <si>
    <t>Use Balance Sheet ST + LT Debt (book value proxy)</t>
  </si>
  <si>
    <t>Total Capital (E + D)</t>
  </si>
  <si>
    <t>Weight of Equity (E / (E+D))</t>
  </si>
  <si>
    <t>Weight of Debt (D / (E+D))</t>
  </si>
  <si>
    <t>WACC</t>
  </si>
  <si>
    <t>WACC = We × Ke + Wd × Kd × (1–t)</t>
  </si>
  <si>
    <t>VoltDrive Motors — DCF Valuation Template (Blank — Build the Formulas)</t>
  </si>
  <si>
    <t>$ in millions. Fill in every white cell below — no formulas are pre-built.</t>
  </si>
  <si>
    <t>FY2026E</t>
  </si>
  <si>
    <t>FY2027E</t>
  </si>
  <si>
    <t>FY2028E</t>
  </si>
  <si>
    <t>FY2029E</t>
  </si>
  <si>
    <t>FY2030E</t>
  </si>
  <si>
    <t>Terminal Year</t>
  </si>
  <si>
    <t>Less: D&amp;A</t>
  </si>
  <si>
    <t>Less: Taxes on EBIT</t>
  </si>
  <si>
    <t>EBIAT (NOPAT)</t>
  </si>
  <si>
    <t>Less: Capital Expenditures</t>
  </si>
  <si>
    <t>Less: Increase in Net Working Capital</t>
  </si>
  <si>
    <t>Unlevered Free Cash Flow</t>
  </si>
  <si>
    <t>Discount Period</t>
  </si>
  <si>
    <t>Discount Factor</t>
  </si>
  <si>
    <t>PV of Unlevered FCF</t>
  </si>
  <si>
    <t>Valuation Summary</t>
  </si>
  <si>
    <t>Sum of PV of Explicit-Period FCF</t>
  </si>
  <si>
    <t>Terminal Growth Rate (g)</t>
  </si>
  <si>
    <t>WACC (from WACC tab)</t>
  </si>
  <si>
    <t>Terminal Value (Gordon Growth)</t>
  </si>
  <si>
    <t>PV of Terminal Value</t>
  </si>
  <si>
    <t>Enterprise Value</t>
  </si>
  <si>
    <t>Less: Total Debt</t>
  </si>
  <si>
    <t>Add: Cash &amp; Equivalents</t>
  </si>
  <si>
    <t>Equity Value</t>
  </si>
  <si>
    <t>Diluted Shares Outstanding</t>
  </si>
  <si>
    <t>Implied Value per Share</t>
  </si>
  <si>
    <t>VoltDrive Motors — Revenue &amp; Cost Drivers Template</t>
  </si>
  <si>
    <t>Build volume, price, and unit-cost drivers here, then feed the results into the DCF tab.</t>
  </si>
  <si>
    <t>Revenue Drivers</t>
  </si>
  <si>
    <t>Vehicles Sold (units, '000)</t>
  </si>
  <si>
    <t>Unit Growth %</t>
  </si>
  <si>
    <t>Average Selling Price (ASP, $'000/unit)</t>
  </si>
  <si>
    <t>ASP Growth %</t>
  </si>
  <si>
    <t>Revenue from Vehicle Sales ($mm)</t>
  </si>
  <si>
    <t>Other Revenue (services, software, energy) ($mm)</t>
  </si>
  <si>
    <t>Total Revenue ($mm)</t>
  </si>
  <si>
    <t>Cost Drivers</t>
  </si>
  <si>
    <t>Battery Cost per Unit ($'000)</t>
  </si>
  <si>
    <t>Other Materials/Assembly Cost per Unit ($'000)</t>
  </si>
  <si>
    <t>Total Variable Cost per Unit ($'000)</t>
  </si>
  <si>
    <t>COGS ($mm)</t>
  </si>
  <si>
    <t>R&amp;D as % of Revenue</t>
  </si>
  <si>
    <t>R&amp;D Expense ($mm)</t>
  </si>
  <si>
    <t>SG&amp;A as % of Revenue</t>
  </si>
  <si>
    <t>SG&amp;A Expense ($mm)</t>
  </si>
  <si>
    <t>VoltDrive Motors — Capacity Expansion Template</t>
  </si>
  <si>
    <t>Link required capacity to unit sales from the Revenue &amp; Cost Drivers tab, then size capex to close any capacity gap.</t>
  </si>
  <si>
    <t>Demand Side</t>
  </si>
  <si>
    <t>Required Units Sold (from Drivers tab, '000)</t>
  </si>
  <si>
    <t>Required Annual Capacity (units, '000)</t>
  </si>
  <si>
    <t>Utilization Target %</t>
  </si>
  <si>
    <t>Supply Side</t>
  </si>
  <si>
    <t>Existing Installed Capacity, Beginning (units, '000)</t>
  </si>
  <si>
    <t>Capacity Gap (Required – Existing)</t>
  </si>
  <si>
    <t>New Capacity to be Added (units, '000)</t>
  </si>
  <si>
    <t>Installed Capacity, Ending (units, '000)</t>
  </si>
  <si>
    <t>Capex Sizing</t>
  </si>
  <si>
    <t>Capex per Unit of New Capacity ($mm per '000 units)</t>
  </si>
  <si>
    <t>Growth / Expansion Capex ($mm)</t>
  </si>
  <si>
    <t>Maintenance Capex ($mm)</t>
  </si>
  <si>
    <t>Total Capex ($mm)</t>
  </si>
  <si>
    <t>PP&amp;E Roll-forward</t>
  </si>
  <si>
    <t>Net PP&amp;E, Beginning ($mm)</t>
  </si>
  <si>
    <t>Add: Total Capex ($mm)</t>
  </si>
  <si>
    <t>Less: D&amp;A ($mm)</t>
  </si>
  <si>
    <t>Net PP&amp;E, Ending ($mm)</t>
  </si>
  <si>
    <t>VoltDrive Motors — Debt Schedule Template</t>
  </si>
  <si>
    <t>Build opening/closing balances, draws, and interest for each tranche; link interest expense back to the Income Statement.</t>
  </si>
  <si>
    <t>Short-Term Debt / Revolver</t>
  </si>
  <si>
    <t>Beginning Balance</t>
  </si>
  <si>
    <t>Draws</t>
  </si>
  <si>
    <t>Repayments</t>
  </si>
  <si>
    <t>Ending Balance</t>
  </si>
  <si>
    <t>Interest Rate %</t>
  </si>
  <si>
    <t>Long-Term Debt / Term Loan</t>
  </si>
  <si>
    <t>New Issuance (funds capex/expansion)</t>
  </si>
  <si>
    <t>Scheduled Repayments</t>
  </si>
  <si>
    <t>Total Debt Summary</t>
  </si>
  <si>
    <t>Total Debt, Ending Balance</t>
  </si>
  <si>
    <t>Total Interest Expense</t>
  </si>
  <si>
    <t>Cash Balance (min cash / sweep check)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</si>
</sst>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&quot;-&quot;"/>
    <numFmt numFmtId="165" formatCode="0.0%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11"/>
      <color rgb="FF00800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1B1B1B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2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164" fontId="4" fillId="0" borderId="0" xfId="0" applyNumberFormat="1" applyFont="1"/>
    <xf numFmtId="165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5" fillId="0" borderId="0" xfId="0" applyFont="1"/>
    <xf numFmtId="0" fontId="1" fillId="2" borderId="0" xfId="0" applyFont="1" applyFill="1"/>
    <xf numFmtId="0" fontId="0" fillId="2" borderId="0" xfId="0" applyFill="1"/>
    <xf numFmtId="164" fontId="6" fillId="0" borderId="0" xfId="0" applyNumberFormat="1" applyFont="1"/>
    <xf numFmtId="0" fontId="7" fillId="0" borderId="0" xfId="0" applyFont="1" applyAlignment="1">
      <alignment horizontal="center"/>
    </xf>
    <xf numFmtId="164" fontId="8" fillId="0" borderId="0" xfId="0" applyNumberFormat="1" applyFont="1"/>
    <xf numFmtId="0" fontId="9" fillId="0" borderId="0" xfId="0" applyFont="1"/>
    <xf numFmtId="0" fontId="10" fillId="0" borderId="0" xfId="0" applyFont="1"/>
    <xf numFmtId="10" fontId="0" fillId="3" borderId="0" xfId="0" applyNumberFormat="1" applyFill="1"/>
    <xf numFmtId="2" fontId="0" fillId="3" borderId="0" xfId="0" applyNumberFormat="1" applyFill="1"/>
    <xf numFmtId="10" fontId="1" fillId="0" borderId="0" xfId="0" applyNumberFormat="1" applyFont="1"/>
    <xf numFmtId="3" fontId="0" fillId="3" borderId="0" xfId="0" applyNumberFormat="1" applyFill="1"/>
    <xf numFmtId="3" fontId="1" fillId="0" borderId="0" xfId="0" applyNumberFormat="1" applyFont="1"/>
    <xf numFmtId="0" fontId="11" fillId="2" borderId="0" xfId="0" applyFont="1" applyFill="1"/>
    <xf numFmtId="10" fontId="11" fillId="2" borderId="0" xfId="0" applyNumberFormat="1" applyFont="1" applyFill="1"/>
    <xf numFmtId="9" fontId="13" fillId="0" borderId="0" xfId="1" applyFont="1"/>
    <xf numFmtId="9" fontId="0" fillId="0" borderId="0" xfId="0" applyNumberFormat="1"/>
    <xf numFmtId="10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INCE%20RANJAN\Downloads\ERPJuly26.xlsx" TargetMode="External"/><Relationship Id="rId1" Type="http://schemas.openxmlformats.org/officeDocument/2006/relationships/externalLinkPath" Target="file:///C:\Users\Aruneshwar%20Thakur\AppData\Local\Packages\5319275A.WhatsAppDesktop_cv1g1gvanyjgm\LocalState\sessions\ED609876032D388233BE66861BBFD49945B7CBFA\transfers\2026-39\ERPJuly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mpl premium calculator"/>
      <sheetName val="Buyback &amp; Dividend computation"/>
      <sheetName val="Expected growth rate"/>
      <sheetName val="Implied ERP- Annual since 1960"/>
      <sheetName val="Implied ERP (Monthly from 9-08)"/>
      <sheetName val="Historical ERP"/>
      <sheetName val="CashYield over time"/>
      <sheetName val="S&amp;P 500 Monthly Data (Cap IQ)"/>
      <sheetName val="T.Bond vs Nominal growth"/>
      <sheetName val="Answers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>
        <row r="216">
          <cell r="K216">
            <v>4.4200000000000003E-2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32AC73C-3D7A-4BF0-8823-6950B3A2E7E3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000b2a6c-5a1b-4465-b464-4d2a9b6d9625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CF1B9-7B60-485B-AEFA-584028888885}">
  <dimension ref="A1:C24"/>
  <sheetViews>
    <sheetView tabSelected="1" topLeftCell="A14" workbookViewId="0">
      <selection activeCell="C22" sqref="C22"/>
    </sheetView>
  </sheetViews>
  <sheetFormatPr defaultRowHeight="14.4" x14ac:dyDescent="0.3"/>
  <cols>
    <col min="1" max="3" width="32.77734375" customWidth="1"/>
  </cols>
  <sheetData>
    <row r="1" spans="1:3" ht="18" x14ac:dyDescent="0.35">
      <c r="A1" s="1" t="s">
        <v>0</v>
      </c>
    </row>
    <row r="2" spans="1:3" x14ac:dyDescent="0.3">
      <c r="A2" s="3" t="s">
        <v>1</v>
      </c>
    </row>
    <row r="4" spans="1:3" x14ac:dyDescent="0.3">
      <c r="A4" s="2"/>
      <c r="B4" s="4" t="s">
        <v>2</v>
      </c>
      <c r="C4" s="4" t="s">
        <v>3</v>
      </c>
    </row>
    <row r="6" spans="1:3" x14ac:dyDescent="0.3">
      <c r="A6" t="s">
        <v>4</v>
      </c>
      <c r="B6" s="5">
        <v>3000</v>
      </c>
      <c r="C6" s="5">
        <v>4500</v>
      </c>
    </row>
    <row r="7" spans="1:3" x14ac:dyDescent="0.3">
      <c r="A7" t="s">
        <v>5</v>
      </c>
      <c r="B7" s="6"/>
      <c r="C7" s="6">
        <f>(C6-B6)/B6</f>
        <v>0.5</v>
      </c>
    </row>
    <row r="8" spans="1:3" x14ac:dyDescent="0.3">
      <c r="A8" t="s">
        <v>6</v>
      </c>
      <c r="B8" s="5">
        <v>2400</v>
      </c>
      <c r="C8" s="5">
        <v>3375</v>
      </c>
    </row>
    <row r="9" spans="1:3" x14ac:dyDescent="0.3">
      <c r="A9" s="2" t="s">
        <v>7</v>
      </c>
      <c r="B9" s="8">
        <f>B6-B8</f>
        <v>600</v>
      </c>
      <c r="C9" s="8">
        <f>C6-C8</f>
        <v>1125</v>
      </c>
    </row>
    <row r="10" spans="1:3" x14ac:dyDescent="0.3">
      <c r="A10" t="s">
        <v>8</v>
      </c>
      <c r="B10" s="5">
        <v>300</v>
      </c>
      <c r="C10" s="5">
        <v>360</v>
      </c>
    </row>
    <row r="11" spans="1:3" x14ac:dyDescent="0.3">
      <c r="A11" t="s">
        <v>9</v>
      </c>
      <c r="B11" s="5">
        <v>360</v>
      </c>
      <c r="C11" s="5">
        <v>450</v>
      </c>
    </row>
    <row r="12" spans="1:3" x14ac:dyDescent="0.3">
      <c r="A12" s="2" t="s">
        <v>10</v>
      </c>
      <c r="B12" s="8">
        <f>B9-B10-B11</f>
        <v>-60</v>
      </c>
      <c r="C12" s="8">
        <f>C9-C10-C11</f>
        <v>315</v>
      </c>
    </row>
    <row r="13" spans="1:3" x14ac:dyDescent="0.3">
      <c r="A13" t="s">
        <v>11</v>
      </c>
      <c r="B13" s="5">
        <v>150</v>
      </c>
      <c r="C13" s="5">
        <v>200</v>
      </c>
    </row>
    <row r="14" spans="1:3" x14ac:dyDescent="0.3">
      <c r="A14" s="2" t="s">
        <v>12</v>
      </c>
      <c r="B14" s="8">
        <f>B12-B13</f>
        <v>-210</v>
      </c>
      <c r="C14" s="8">
        <f>C12-C13</f>
        <v>115</v>
      </c>
    </row>
    <row r="15" spans="1:3" x14ac:dyDescent="0.3">
      <c r="A15" t="s">
        <v>13</v>
      </c>
      <c r="B15" s="5">
        <v>75</v>
      </c>
      <c r="C15" s="5">
        <v>85</v>
      </c>
    </row>
    <row r="16" spans="1:3" x14ac:dyDescent="0.3">
      <c r="A16" s="2" t="s">
        <v>14</v>
      </c>
      <c r="B16" s="8">
        <f>B14-B15</f>
        <v>-285</v>
      </c>
      <c r="C16" s="8">
        <f>C14-C15</f>
        <v>30</v>
      </c>
    </row>
    <row r="17" spans="1:3" x14ac:dyDescent="0.3">
      <c r="A17" t="s">
        <v>15</v>
      </c>
      <c r="B17" s="5">
        <v>0</v>
      </c>
      <c r="C17" s="5">
        <v>7.5</v>
      </c>
    </row>
    <row r="18" spans="1:3" x14ac:dyDescent="0.3">
      <c r="A18" s="2" t="s">
        <v>16</v>
      </c>
      <c r="B18" s="8">
        <f>B16-B17</f>
        <v>-285</v>
      </c>
      <c r="C18" s="8">
        <f>C16-C17</f>
        <v>22.5</v>
      </c>
    </row>
    <row r="20" spans="1:3" x14ac:dyDescent="0.3">
      <c r="A20" s="2" t="s">
        <v>17</v>
      </c>
      <c r="B20" s="6">
        <f>B9/B6</f>
        <v>0.2</v>
      </c>
      <c r="C20" s="6">
        <f>C9/C6</f>
        <v>0.25</v>
      </c>
    </row>
    <row r="21" spans="1:3" x14ac:dyDescent="0.3">
      <c r="A21" t="s">
        <v>18</v>
      </c>
      <c r="B21" s="6">
        <f>B12/B6</f>
        <v>-0.02</v>
      </c>
      <c r="C21" s="6">
        <f>C12/C6</f>
        <v>7.0000000000000007E-2</v>
      </c>
    </row>
    <row r="22" spans="1:3" x14ac:dyDescent="0.3">
      <c r="A22" s="2" t="s">
        <v>19</v>
      </c>
      <c r="B22" s="6">
        <f>B18/B6</f>
        <v>-9.5000000000000001E-2</v>
      </c>
      <c r="C22" s="6">
        <f>C18/C6</f>
        <v>5.0000000000000001E-3</v>
      </c>
    </row>
    <row r="24" spans="1:3" x14ac:dyDescent="0.3">
      <c r="A24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806A-A6A2-4F07-A71A-6835C68CF136}">
  <dimension ref="A1:C26"/>
  <sheetViews>
    <sheetView topLeftCell="A15" zoomScale="84" zoomScaleNormal="41" workbookViewId="0">
      <selection activeCell="C8" sqref="C8"/>
    </sheetView>
  </sheetViews>
  <sheetFormatPr defaultRowHeight="14.4" x14ac:dyDescent="0.3"/>
  <cols>
    <col min="1" max="3" width="36.33203125" customWidth="1"/>
  </cols>
  <sheetData>
    <row r="1" spans="1:3" ht="18" x14ac:dyDescent="0.35">
      <c r="A1" s="1" t="s">
        <v>0</v>
      </c>
    </row>
    <row r="2" spans="1:3" x14ac:dyDescent="0.3">
      <c r="A2" s="3" t="s">
        <v>20</v>
      </c>
    </row>
    <row r="4" spans="1:3" x14ac:dyDescent="0.3">
      <c r="B4" s="4" t="s">
        <v>2</v>
      </c>
      <c r="C4" s="4" t="s">
        <v>3</v>
      </c>
    </row>
    <row r="5" spans="1:3" x14ac:dyDescent="0.3">
      <c r="A5" s="10" t="s">
        <v>21</v>
      </c>
      <c r="B5" s="11"/>
      <c r="C5" s="11"/>
    </row>
    <row r="6" spans="1:3" x14ac:dyDescent="0.3">
      <c r="A6" t="s">
        <v>22</v>
      </c>
      <c r="B6" s="5">
        <v>375</v>
      </c>
      <c r="C6" s="5">
        <v>482.5</v>
      </c>
    </row>
    <row r="7" spans="1:3" x14ac:dyDescent="0.3">
      <c r="A7" t="s">
        <v>23</v>
      </c>
      <c r="B7" s="5">
        <v>300</v>
      </c>
      <c r="C7" s="5">
        <v>450</v>
      </c>
    </row>
    <row r="8" spans="1:3" x14ac:dyDescent="0.3">
      <c r="A8" t="s">
        <v>24</v>
      </c>
      <c r="B8" s="5">
        <v>450</v>
      </c>
      <c r="C8" s="5">
        <v>675</v>
      </c>
    </row>
    <row r="9" spans="1:3" x14ac:dyDescent="0.3">
      <c r="A9" s="2" t="s">
        <v>25</v>
      </c>
      <c r="B9" s="8">
        <f>SUM(B6:B8)</f>
        <v>1125</v>
      </c>
      <c r="C9" s="8">
        <f>SUM(C6:C8)</f>
        <v>1607.5</v>
      </c>
    </row>
    <row r="10" spans="1:3" x14ac:dyDescent="0.3">
      <c r="A10" t="s">
        <v>26</v>
      </c>
      <c r="B10" s="5">
        <v>2625</v>
      </c>
      <c r="C10" s="5">
        <v>2985</v>
      </c>
    </row>
    <row r="11" spans="1:3" x14ac:dyDescent="0.3">
      <c r="A11" s="2" t="s">
        <v>27</v>
      </c>
      <c r="B11" s="8">
        <f>B9+B10</f>
        <v>3750</v>
      </c>
      <c r="C11" s="8">
        <f>C9+C10</f>
        <v>4592.5</v>
      </c>
    </row>
    <row r="13" spans="1:3" x14ac:dyDescent="0.3">
      <c r="A13" s="10" t="s">
        <v>28</v>
      </c>
      <c r="B13" s="11"/>
      <c r="C13" s="11"/>
    </row>
    <row r="14" spans="1:3" x14ac:dyDescent="0.3">
      <c r="A14" t="s">
        <v>29</v>
      </c>
      <c r="B14" s="5">
        <v>360</v>
      </c>
      <c r="C14" s="5">
        <v>540</v>
      </c>
    </row>
    <row r="15" spans="1:3" x14ac:dyDescent="0.3">
      <c r="A15" t="s">
        <v>30</v>
      </c>
      <c r="B15" s="5">
        <v>190</v>
      </c>
      <c r="C15" s="5">
        <v>190</v>
      </c>
    </row>
    <row r="16" spans="1:3" x14ac:dyDescent="0.3">
      <c r="A16" s="2" t="s">
        <v>31</v>
      </c>
      <c r="B16" s="8">
        <f>SUM(B14:B15)</f>
        <v>550</v>
      </c>
      <c r="C16" s="8">
        <f>SUM(C14:C15)</f>
        <v>730</v>
      </c>
    </row>
    <row r="17" spans="1:3" x14ac:dyDescent="0.3">
      <c r="A17" t="s">
        <v>32</v>
      </c>
      <c r="B17" s="5">
        <v>1700</v>
      </c>
      <c r="C17" s="5">
        <v>1880</v>
      </c>
    </row>
    <row r="18" spans="1:3" x14ac:dyDescent="0.3">
      <c r="A18" s="2" t="s">
        <v>33</v>
      </c>
      <c r="B18" s="8">
        <f>B16+B17</f>
        <v>2250</v>
      </c>
      <c r="C18" s="8">
        <f>C16+C17</f>
        <v>2610</v>
      </c>
    </row>
    <row r="20" spans="1:3" x14ac:dyDescent="0.3">
      <c r="A20" s="10" t="s">
        <v>34</v>
      </c>
      <c r="B20" s="11"/>
      <c r="C20" s="11"/>
    </row>
    <row r="21" spans="1:3" x14ac:dyDescent="0.3">
      <c r="A21" t="s">
        <v>35</v>
      </c>
      <c r="B21" s="5">
        <v>1875</v>
      </c>
      <c r="C21" s="5">
        <v>2335</v>
      </c>
    </row>
    <row r="22" spans="1:3" x14ac:dyDescent="0.3">
      <c r="A22" t="s">
        <v>36</v>
      </c>
      <c r="B22" s="5">
        <v>-375</v>
      </c>
      <c r="C22" s="5">
        <v>-352.5</v>
      </c>
    </row>
    <row r="23" spans="1:3" x14ac:dyDescent="0.3">
      <c r="A23" s="2" t="s">
        <v>37</v>
      </c>
      <c r="B23" s="8">
        <f>B21+B22</f>
        <v>1500</v>
      </c>
      <c r="C23" s="8">
        <f>C21+C22</f>
        <v>1982.5</v>
      </c>
    </row>
    <row r="25" spans="1:3" x14ac:dyDescent="0.3">
      <c r="A25" s="2" t="s">
        <v>38</v>
      </c>
      <c r="B25" s="8">
        <f>B18+B23</f>
        <v>3750</v>
      </c>
      <c r="C25" s="8">
        <f>C18+C23</f>
        <v>4592.5</v>
      </c>
    </row>
    <row r="26" spans="1:3" x14ac:dyDescent="0.3">
      <c r="A26" t="s">
        <v>39</v>
      </c>
      <c r="B26" s="7">
        <f>B11-B25</f>
        <v>0</v>
      </c>
      <c r="C26" s="7">
        <f>C11-C25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79447-F74F-4133-B65C-ED04E588F2E9}">
  <dimension ref="A1:C28"/>
  <sheetViews>
    <sheetView topLeftCell="A20" workbookViewId="0">
      <selection activeCell="A28" sqref="A28:C28"/>
    </sheetView>
  </sheetViews>
  <sheetFormatPr defaultRowHeight="14.4" x14ac:dyDescent="0.3"/>
  <cols>
    <col min="1" max="3" width="40" customWidth="1"/>
  </cols>
  <sheetData>
    <row r="1" spans="1:3" ht="18" x14ac:dyDescent="0.35">
      <c r="A1" s="1" t="s">
        <v>0</v>
      </c>
    </row>
    <row r="2" spans="1:3" x14ac:dyDescent="0.3">
      <c r="A2" s="3" t="s">
        <v>40</v>
      </c>
    </row>
    <row r="4" spans="1:3" x14ac:dyDescent="0.3">
      <c r="B4" s="4" t="s">
        <v>2</v>
      </c>
      <c r="C4" s="4" t="s">
        <v>3</v>
      </c>
    </row>
    <row r="5" spans="1:3" x14ac:dyDescent="0.3">
      <c r="A5" s="10" t="s">
        <v>41</v>
      </c>
      <c r="B5" s="11"/>
      <c r="C5" s="11"/>
    </row>
    <row r="6" spans="1:3" x14ac:dyDescent="0.3">
      <c r="A6" t="s">
        <v>16</v>
      </c>
      <c r="B6" s="12">
        <f>'Income Statement'!B18</f>
        <v>-285</v>
      </c>
      <c r="C6" s="12">
        <f>'Income Statement'!C18</f>
        <v>22.5</v>
      </c>
    </row>
    <row r="7" spans="1:3" x14ac:dyDescent="0.3">
      <c r="A7" t="s">
        <v>42</v>
      </c>
      <c r="B7" s="12">
        <f>'Income Statement'!B13</f>
        <v>150</v>
      </c>
      <c r="C7" s="12">
        <f>'Income Statement'!C13</f>
        <v>200</v>
      </c>
    </row>
    <row r="8" spans="1:3" x14ac:dyDescent="0.3">
      <c r="A8" t="s">
        <v>43</v>
      </c>
      <c r="B8" s="13" t="s">
        <v>44</v>
      </c>
      <c r="C8" s="7">
        <f>-('Balance Sheet'!C7-'Balance Sheet'!B7)</f>
        <v>-150</v>
      </c>
    </row>
    <row r="9" spans="1:3" x14ac:dyDescent="0.3">
      <c r="A9" t="s">
        <v>45</v>
      </c>
      <c r="B9" s="13" t="s">
        <v>44</v>
      </c>
      <c r="C9" s="7">
        <f>-('Balance Sheet'!C8-'Balance Sheet'!B8)</f>
        <v>-225</v>
      </c>
    </row>
    <row r="10" spans="1:3" x14ac:dyDescent="0.3">
      <c r="A10" t="s">
        <v>46</v>
      </c>
      <c r="B10" s="13" t="s">
        <v>44</v>
      </c>
      <c r="C10" s="7">
        <f>'Balance Sheet'!C14-'Balance Sheet'!B14</f>
        <v>180</v>
      </c>
    </row>
    <row r="11" spans="1:3" x14ac:dyDescent="0.3">
      <c r="A11" s="2" t="s">
        <v>47</v>
      </c>
      <c r="B11" s="8">
        <f>B6+B7</f>
        <v>-135</v>
      </c>
      <c r="C11" s="8">
        <f>SUM(C6:C10)</f>
        <v>27.5</v>
      </c>
    </row>
    <row r="13" spans="1:3" x14ac:dyDescent="0.3">
      <c r="A13" s="10" t="s">
        <v>48</v>
      </c>
      <c r="B13" s="11"/>
      <c r="C13" s="11"/>
    </row>
    <row r="14" spans="1:3" x14ac:dyDescent="0.3">
      <c r="A14" t="s">
        <v>49</v>
      </c>
      <c r="B14" s="5">
        <v>-500</v>
      </c>
      <c r="C14" s="5">
        <v>-560</v>
      </c>
    </row>
    <row r="15" spans="1:3" x14ac:dyDescent="0.3">
      <c r="A15" s="2" t="s">
        <v>50</v>
      </c>
      <c r="B15" s="8">
        <f>B14</f>
        <v>-500</v>
      </c>
      <c r="C15" s="8">
        <f>C14</f>
        <v>-560</v>
      </c>
    </row>
    <row r="17" spans="1:3" x14ac:dyDescent="0.3">
      <c r="A17" s="10" t="s">
        <v>51</v>
      </c>
      <c r="B17" s="11"/>
      <c r="C17" s="11"/>
    </row>
    <row r="18" spans="1:3" x14ac:dyDescent="0.3">
      <c r="A18" t="s">
        <v>52</v>
      </c>
      <c r="B18" s="5">
        <v>700</v>
      </c>
      <c r="C18" s="5">
        <v>280</v>
      </c>
    </row>
    <row r="19" spans="1:3" x14ac:dyDescent="0.3">
      <c r="A19" t="s">
        <v>53</v>
      </c>
      <c r="B19" s="5">
        <v>-50</v>
      </c>
      <c r="C19" s="5">
        <v>-100</v>
      </c>
    </row>
    <row r="20" spans="1:3" x14ac:dyDescent="0.3">
      <c r="A20" t="s">
        <v>54</v>
      </c>
      <c r="B20" s="5">
        <v>1200</v>
      </c>
      <c r="C20" s="5">
        <v>460</v>
      </c>
    </row>
    <row r="21" spans="1:3" x14ac:dyDescent="0.3">
      <c r="A21" s="2" t="s">
        <v>55</v>
      </c>
      <c r="B21" s="8">
        <f>SUM(B18:B20)</f>
        <v>1850</v>
      </c>
      <c r="C21" s="8">
        <f>SUM(C18:C20)</f>
        <v>640</v>
      </c>
    </row>
    <row r="23" spans="1:3" x14ac:dyDescent="0.3">
      <c r="A23" s="2" t="s">
        <v>56</v>
      </c>
      <c r="B23" s="8">
        <f>B11+B15+B21</f>
        <v>1215</v>
      </c>
      <c r="C23" s="8">
        <f>C11+C15+C21</f>
        <v>107.5</v>
      </c>
    </row>
    <row r="24" spans="1:3" x14ac:dyDescent="0.3">
      <c r="A24" t="s">
        <v>57</v>
      </c>
      <c r="B24" s="13" t="s">
        <v>44</v>
      </c>
      <c r="C24" s="12">
        <f>'Balance Sheet'!B6</f>
        <v>375</v>
      </c>
    </row>
    <row r="25" spans="1:3" x14ac:dyDescent="0.3">
      <c r="A25" s="2" t="s">
        <v>58</v>
      </c>
      <c r="B25" s="14">
        <f>'Balance Sheet'!B6</f>
        <v>375</v>
      </c>
      <c r="C25" s="8">
        <f>C24+C23</f>
        <v>482.5</v>
      </c>
    </row>
    <row r="26" spans="1:3" x14ac:dyDescent="0.3">
      <c r="A26" t="s">
        <v>59</v>
      </c>
      <c r="C26" s="7">
        <f>C25-'Balance Sheet'!C6</f>
        <v>0</v>
      </c>
    </row>
    <row r="28" spans="1:3" x14ac:dyDescent="0.3">
      <c r="A28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CAECE-45D2-4783-BF31-C212F0B4C4EB}">
  <dimension ref="A1:D24"/>
  <sheetViews>
    <sheetView topLeftCell="A17" workbookViewId="0">
      <selection activeCell="A24" sqref="A24:C24"/>
    </sheetView>
  </sheetViews>
  <sheetFormatPr defaultRowHeight="14.4" x14ac:dyDescent="0.3"/>
  <cols>
    <col min="1" max="4" width="47.21875" customWidth="1"/>
  </cols>
  <sheetData>
    <row r="1" spans="1:4" ht="18" x14ac:dyDescent="0.35">
      <c r="A1" s="1" t="s">
        <v>60</v>
      </c>
    </row>
    <row r="2" spans="1:4" x14ac:dyDescent="0.3">
      <c r="A2" s="16" t="s">
        <v>61</v>
      </c>
    </row>
    <row r="4" spans="1:4" x14ac:dyDescent="0.3">
      <c r="A4" s="10" t="s">
        <v>62</v>
      </c>
      <c r="B4" s="11"/>
      <c r="D4" s="11"/>
    </row>
    <row r="5" spans="1:4" x14ac:dyDescent="0.3">
      <c r="A5" t="s">
        <v>63</v>
      </c>
      <c r="B5" s="24">
        <f>0.047</f>
        <v>4.7E-2</v>
      </c>
      <c r="D5" s="15" t="s">
        <v>64</v>
      </c>
    </row>
    <row r="6" spans="1:4" x14ac:dyDescent="0.3">
      <c r="A6" t="s">
        <v>65</v>
      </c>
      <c r="B6" s="18">
        <f>(1.62+1.85)/2</f>
        <v>1.7350000000000001</v>
      </c>
      <c r="D6" s="15" t="s">
        <v>66</v>
      </c>
    </row>
    <row r="7" spans="1:4" x14ac:dyDescent="0.3">
      <c r="A7" t="s">
        <v>67</v>
      </c>
      <c r="B7" s="17">
        <f>'[1]Implied ERP (Monthly from 9-08)'!$K$216</f>
        <v>4.4200000000000003E-2</v>
      </c>
      <c r="D7" s="15" t="s">
        <v>68</v>
      </c>
    </row>
    <row r="8" spans="1:4" x14ac:dyDescent="0.3">
      <c r="A8" s="2" t="s">
        <v>69</v>
      </c>
      <c r="B8" s="19">
        <f>B5+(B6*B7)</f>
        <v>0.12368700000000001</v>
      </c>
      <c r="D8" s="15" t="s">
        <v>70</v>
      </c>
    </row>
    <row r="10" spans="1:4" x14ac:dyDescent="0.3">
      <c r="A10" s="10" t="s">
        <v>71</v>
      </c>
      <c r="B10" s="11"/>
      <c r="D10" s="11"/>
    </row>
    <row r="11" spans="1:4" x14ac:dyDescent="0.3">
      <c r="A11" t="s">
        <v>72</v>
      </c>
      <c r="B11" s="17">
        <f>'Income Statement'!C15/('Balance Sheet'!C15+'Balance Sheet'!C17)</f>
        <v>4.1062801932367152E-2</v>
      </c>
      <c r="D11" s="15" t="s">
        <v>73</v>
      </c>
    </row>
    <row r="12" spans="1:4" x14ac:dyDescent="0.3">
      <c r="A12" t="s">
        <v>74</v>
      </c>
      <c r="B12" s="17">
        <v>0.25</v>
      </c>
      <c r="D12" s="15" t="s">
        <v>75</v>
      </c>
    </row>
    <row r="13" spans="1:4" x14ac:dyDescent="0.3">
      <c r="A13" s="2" t="s">
        <v>76</v>
      </c>
      <c r="B13" s="19">
        <f>B11*(1-B12)</f>
        <v>3.0797101449275364E-2</v>
      </c>
      <c r="D13" s="15" t="s">
        <v>77</v>
      </c>
    </row>
    <row r="15" spans="1:4" x14ac:dyDescent="0.3">
      <c r="A15" s="10" t="s">
        <v>78</v>
      </c>
      <c r="B15" s="11"/>
      <c r="D15" s="11"/>
    </row>
    <row r="16" spans="1:4" x14ac:dyDescent="0.3">
      <c r="A16" t="s">
        <v>79</v>
      </c>
      <c r="B16" s="20">
        <f>'Balance Sheet'!C23</f>
        <v>1982.5</v>
      </c>
      <c r="D16" s="15" t="s">
        <v>80</v>
      </c>
    </row>
    <row r="17" spans="1:4" x14ac:dyDescent="0.3">
      <c r="A17" t="s">
        <v>81</v>
      </c>
      <c r="B17" s="20">
        <f>'Balance Sheet'!C15+'Balance Sheet'!C17</f>
        <v>2070</v>
      </c>
      <c r="D17" s="15" t="s">
        <v>82</v>
      </c>
    </row>
    <row r="18" spans="1:4" x14ac:dyDescent="0.3">
      <c r="A18" s="2" t="s">
        <v>83</v>
      </c>
      <c r="B18" s="21">
        <f>B16+B17</f>
        <v>4052.5</v>
      </c>
    </row>
    <row r="19" spans="1:4" x14ac:dyDescent="0.3">
      <c r="A19" t="s">
        <v>84</v>
      </c>
      <c r="B19" s="6">
        <f>B16/B18</f>
        <v>0.48920419494139422</v>
      </c>
    </row>
    <row r="20" spans="1:4" x14ac:dyDescent="0.3">
      <c r="A20" t="s">
        <v>85</v>
      </c>
      <c r="B20" s="6">
        <f>B17/B18</f>
        <v>0.51079580505860578</v>
      </c>
    </row>
    <row r="22" spans="1:4" ht="15.6" x14ac:dyDescent="0.3">
      <c r="A22" s="22" t="s">
        <v>86</v>
      </c>
      <c r="B22" s="23">
        <f>B19*B8+B20*B11*(1-B12)</f>
        <v>7.6239229487970392E-2</v>
      </c>
      <c r="D22" s="15" t="s">
        <v>87</v>
      </c>
    </row>
    <row r="24" spans="1:4" x14ac:dyDescent="0.3">
      <c r="A24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F602B-D92B-40E4-B40D-1751292C08DD}">
  <dimension ref="A1:G36"/>
  <sheetViews>
    <sheetView topLeftCell="A17" zoomScale="93" workbookViewId="0">
      <selection activeCell="A36" sqref="A36:D36"/>
    </sheetView>
  </sheetViews>
  <sheetFormatPr defaultRowHeight="14.4" x14ac:dyDescent="0.3"/>
  <cols>
    <col min="1" max="1" width="47.21875" customWidth="1"/>
    <col min="2" max="7" width="27.21875" customWidth="1"/>
  </cols>
  <sheetData>
    <row r="1" spans="1:7" ht="18" x14ac:dyDescent="0.35">
      <c r="A1" s="1" t="s">
        <v>88</v>
      </c>
    </row>
    <row r="2" spans="1:7" x14ac:dyDescent="0.3">
      <c r="A2" s="16" t="s">
        <v>89</v>
      </c>
    </row>
    <row r="4" spans="1:7" x14ac:dyDescent="0.3">
      <c r="A4" s="2"/>
      <c r="B4" s="4" t="s">
        <v>90</v>
      </c>
      <c r="C4" s="4" t="s">
        <v>91</v>
      </c>
      <c r="D4" s="4" t="s">
        <v>92</v>
      </c>
      <c r="E4" s="4" t="s">
        <v>93</v>
      </c>
      <c r="F4" s="4" t="s">
        <v>94</v>
      </c>
      <c r="G4" s="4" t="s">
        <v>95</v>
      </c>
    </row>
    <row r="6" spans="1:7" x14ac:dyDescent="0.3">
      <c r="A6" t="s">
        <v>4</v>
      </c>
      <c r="B6">
        <f>'Revenue &amp; Cost Drivers'!C13</f>
        <v>5400</v>
      </c>
      <c r="C6">
        <f>'Revenue &amp; Cost Drivers'!D13</f>
        <v>6210</v>
      </c>
      <c r="D6">
        <f>'Revenue &amp; Cost Drivers'!E13</f>
        <v>6831.0000000000009</v>
      </c>
      <c r="E6">
        <f>'Revenue &amp; Cost Drivers'!F13</f>
        <v>7514.1</v>
      </c>
      <c r="F6">
        <f>'Revenue &amp; Cost Drivers'!G13</f>
        <v>7889.8050000000012</v>
      </c>
      <c r="G6">
        <f>F6*(1+$B$25)</f>
        <v>8126.4991500000015</v>
      </c>
    </row>
    <row r="7" spans="1:7" x14ac:dyDescent="0.3">
      <c r="A7" t="s">
        <v>5</v>
      </c>
      <c r="B7" s="25">
        <f>'Revenue &amp; Cost Drivers'!C8</f>
        <v>0.2</v>
      </c>
      <c r="C7" s="25">
        <f>'Revenue &amp; Cost Drivers'!D8</f>
        <v>0.15</v>
      </c>
      <c r="D7" s="25">
        <f>'Revenue &amp; Cost Drivers'!E8</f>
        <v>0.1</v>
      </c>
      <c r="E7" s="25">
        <f>'Revenue &amp; Cost Drivers'!F8</f>
        <v>0.1</v>
      </c>
      <c r="F7" s="25">
        <f>'Revenue &amp; Cost Drivers'!G8</f>
        <v>0.05</v>
      </c>
      <c r="G7" s="25">
        <f>B25</f>
        <v>0.03</v>
      </c>
    </row>
    <row r="8" spans="1:7" x14ac:dyDescent="0.3">
      <c r="A8" t="s">
        <v>10</v>
      </c>
      <c r="B8">
        <f>'Revenue &amp; Cost Drivers'!C13-'Revenue &amp; Cost Drivers'!C19-'Revenue &amp; Cost Drivers'!C22-'Revenue &amp; Cost Drivers'!C24</f>
        <v>408</v>
      </c>
      <c r="C8">
        <f>'Revenue &amp; Cost Drivers'!D13-'Revenue &amp; Cost Drivers'!D19-'Revenue &amp; Cost Drivers'!D22-'Revenue &amp; Cost Drivers'!D24</f>
        <v>496.80000000000041</v>
      </c>
      <c r="D8">
        <f>'Revenue &amp; Cost Drivers'!E13-'Revenue &amp; Cost Drivers'!E19-'Revenue &amp; Cost Drivers'!E22-'Revenue &amp; Cost Drivers'!E24</f>
        <v>592.02000000000021</v>
      </c>
      <c r="E8">
        <f>'Revenue &amp; Cost Drivers'!F13-'Revenue &amp; Cost Drivers'!F19-'Revenue &amp; Cost Drivers'!F22-'Revenue &amp; Cost Drivers'!F24</f>
        <v>684.61799999999971</v>
      </c>
      <c r="F8">
        <f>'Revenue &amp; Cost Drivers'!G13-'Revenue &amp; Cost Drivers'!G19-'Revenue &amp; Cost Drivers'!G22-'Revenue &amp; Cost Drivers'!G24</f>
        <v>771.44759999999997</v>
      </c>
      <c r="G8">
        <f>G6*F9</f>
        <v>794.59102799999994</v>
      </c>
    </row>
    <row r="9" spans="1:7" x14ac:dyDescent="0.3">
      <c r="A9" t="s">
        <v>18</v>
      </c>
      <c r="B9" s="27">
        <f t="shared" ref="B9:G9" si="0">B8/B6</f>
        <v>7.5555555555555556E-2</v>
      </c>
      <c r="C9" s="27">
        <f t="shared" si="0"/>
        <v>8.0000000000000071E-2</v>
      </c>
      <c r="D9" s="27">
        <f t="shared" si="0"/>
        <v>8.6666666666666684E-2</v>
      </c>
      <c r="E9" s="27">
        <f t="shared" si="0"/>
        <v>9.1111111111111073E-2</v>
      </c>
      <c r="F9">
        <f t="shared" si="0"/>
        <v>9.7777777777777755E-2</v>
      </c>
      <c r="G9">
        <f t="shared" si="0"/>
        <v>9.7777777777777755E-2</v>
      </c>
    </row>
    <row r="10" spans="1:7" x14ac:dyDescent="0.3">
      <c r="A10" t="s">
        <v>96</v>
      </c>
      <c r="B10">
        <f>'Capacity Expansion'!C26</f>
        <v>238.8</v>
      </c>
      <c r="C10">
        <f>'Capacity Expansion'!D26</f>
        <v>258.30266666666665</v>
      </c>
      <c r="D10">
        <f>'Capacity Expansion'!E26</f>
        <v>274.55358666666666</v>
      </c>
      <c r="E10">
        <f>'Capacity Expansion'!F26</f>
        <v>284.71697906666668</v>
      </c>
      <c r="F10">
        <f>'Capacity Expansion'!G26</f>
        <v>296.41546969466668</v>
      </c>
      <c r="G10">
        <f>F10*(1+B25)</f>
        <v>305.30793378550669</v>
      </c>
    </row>
    <row r="11" spans="1:7" x14ac:dyDescent="0.3">
      <c r="A11" t="s">
        <v>12</v>
      </c>
      <c r="B11">
        <f>B8-B10</f>
        <v>169.2</v>
      </c>
      <c r="C11">
        <f t="shared" ref="C11:G11" si="1">C8-C10</f>
        <v>238.49733333333376</v>
      </c>
      <c r="D11">
        <f t="shared" si="1"/>
        <v>317.46641333333355</v>
      </c>
      <c r="E11">
        <f t="shared" si="1"/>
        <v>399.90102093333303</v>
      </c>
      <c r="F11">
        <f t="shared" si="1"/>
        <v>475.03213030533328</v>
      </c>
      <c r="G11">
        <f t="shared" si="1"/>
        <v>489.28309421449325</v>
      </c>
    </row>
    <row r="12" spans="1:7" x14ac:dyDescent="0.3">
      <c r="A12" t="s">
        <v>97</v>
      </c>
      <c r="B12">
        <f>MAX(0,B11*WACC!$B$12)</f>
        <v>42.3</v>
      </c>
      <c r="C12">
        <f>MAX(0,C11*WACC!$B$12)</f>
        <v>59.624333333333439</v>
      </c>
      <c r="D12">
        <f>MAX(0,D11*WACC!$B$12)</f>
        <v>79.366603333333387</v>
      </c>
      <c r="E12">
        <f>MAX(0,E11*WACC!$B$12)</f>
        <v>99.975255233333257</v>
      </c>
      <c r="F12">
        <f>MAX(0,F11*WACC!$B$12)</f>
        <v>118.75803257633332</v>
      </c>
      <c r="G12">
        <f>MAX(0,G11*WACC!$B$12)</f>
        <v>122.32077355362331</v>
      </c>
    </row>
    <row r="13" spans="1:7" x14ac:dyDescent="0.3">
      <c r="A13" s="2" t="s">
        <v>98</v>
      </c>
      <c r="B13">
        <f>B11-B12</f>
        <v>126.89999999999999</v>
      </c>
      <c r="C13">
        <f t="shared" ref="C13:G13" si="2">C11-C12</f>
        <v>178.87300000000033</v>
      </c>
      <c r="D13">
        <f t="shared" si="2"/>
        <v>238.09981000000016</v>
      </c>
      <c r="E13">
        <f t="shared" si="2"/>
        <v>299.92576569999977</v>
      </c>
      <c r="F13">
        <f t="shared" si="2"/>
        <v>356.27409772899995</v>
      </c>
      <c r="G13">
        <f t="shared" si="2"/>
        <v>366.96232066086992</v>
      </c>
    </row>
    <row r="14" spans="1:7" x14ac:dyDescent="0.3">
      <c r="A14" t="s">
        <v>42</v>
      </c>
      <c r="B14">
        <f>B10</f>
        <v>238.8</v>
      </c>
      <c r="C14">
        <f t="shared" ref="C14:G14" si="3">C10</f>
        <v>258.30266666666665</v>
      </c>
      <c r="D14">
        <f t="shared" si="3"/>
        <v>274.55358666666666</v>
      </c>
      <c r="E14">
        <f t="shared" si="3"/>
        <v>284.71697906666668</v>
      </c>
      <c r="F14">
        <f t="shared" si="3"/>
        <v>296.41546969466668</v>
      </c>
      <c r="G14">
        <f t="shared" si="3"/>
        <v>305.30793378550669</v>
      </c>
    </row>
    <row r="15" spans="1:7" x14ac:dyDescent="0.3">
      <c r="A15" t="s">
        <v>99</v>
      </c>
      <c r="B15">
        <f>'Capacity Expansion'!C21</f>
        <v>482.58333333333343</v>
      </c>
      <c r="C15">
        <f>'Capacity Expansion'!D21</f>
        <v>461.43916666666667</v>
      </c>
      <c r="D15">
        <f>'Capacity Expansion'!E21</f>
        <v>401.59599166666681</v>
      </c>
      <c r="E15">
        <f>'Capacity Expansion'!F21</f>
        <v>430.94811191666679</v>
      </c>
      <c r="F15">
        <f>'Capacity Expansion'!G21</f>
        <v>324.40966855916679</v>
      </c>
      <c r="G15">
        <f>F15*(1+B25)</f>
        <v>334.1419586159418</v>
      </c>
    </row>
    <row r="16" spans="1:7" x14ac:dyDescent="0.3">
      <c r="A16" t="s">
        <v>100</v>
      </c>
      <c r="B16">
        <f>B6*(('Balance Sheet'!$C$7+'Balance Sheet'!$C$8-'Balance Sheet'!$C$14)/'Income Statement'!$C$6)-('Balance Sheet'!$C$7+'Balance Sheet'!$C$8-'Balance Sheet'!$C$14)</f>
        <v>117</v>
      </c>
      <c r="C16">
        <f>C6*(('Balance Sheet'!$C$7+'Balance Sheet'!$C$8-'Balance Sheet'!$C$14)/'Income Statement'!$C$6)-('Balance Sheet'!$C$7+'Balance Sheet'!$C$8-'Balance Sheet'!$C$14)</f>
        <v>222.30000000000007</v>
      </c>
      <c r="D16">
        <f>D6*(('Balance Sheet'!$C$7+'Balance Sheet'!$C$8-'Balance Sheet'!$C$14)/'Income Statement'!$C$6)-('Balance Sheet'!$C$7+'Balance Sheet'!$C$8-'Balance Sheet'!$C$14)</f>
        <v>303.0300000000002</v>
      </c>
      <c r="E16">
        <f>E6*(('Balance Sheet'!$C$7+'Balance Sheet'!$C$8-'Balance Sheet'!$C$14)/'Income Statement'!$C$6)-('Balance Sheet'!$C$7+'Balance Sheet'!$C$8-'Balance Sheet'!$C$14)</f>
        <v>391.83300000000008</v>
      </c>
      <c r="F16">
        <f>F6*(('Balance Sheet'!$C$7+'Balance Sheet'!$C$8-'Balance Sheet'!$C$14)/'Income Statement'!$C$6)-('Balance Sheet'!$C$7+'Balance Sheet'!$C$8-'Balance Sheet'!$C$14)</f>
        <v>440.67465000000016</v>
      </c>
      <c r="G16">
        <f>G6*(('Balance Sheet'!$C$7+'Balance Sheet'!$C$8-'Balance Sheet'!$C$14)/'Income Statement'!$C$6)-('Balance Sheet'!$C$7+'Balance Sheet'!$C$8-'Balance Sheet'!$C$14)</f>
        <v>471.44488950000027</v>
      </c>
    </row>
    <row r="17" spans="1:7" x14ac:dyDescent="0.3">
      <c r="A17" s="2" t="s">
        <v>101</v>
      </c>
      <c r="B17">
        <f>B13+B14-B15-B16</f>
        <v>-233.88333333333344</v>
      </c>
      <c r="C17">
        <f t="shared" ref="C17:G17" si="4">C13+C14-C15-C16</f>
        <v>-246.56349999999975</v>
      </c>
      <c r="D17">
        <f t="shared" si="4"/>
        <v>-191.97259500000018</v>
      </c>
      <c r="E17">
        <f t="shared" si="4"/>
        <v>-238.13836715000036</v>
      </c>
      <c r="F17">
        <f>F13+F14-F15-F16</f>
        <v>-112.39475113550031</v>
      </c>
      <c r="G17">
        <f t="shared" si="4"/>
        <v>-133.31659366956546</v>
      </c>
    </row>
    <row r="19" spans="1:7" x14ac:dyDescent="0.3">
      <c r="A19" t="s">
        <v>102</v>
      </c>
      <c r="B19">
        <f>1</f>
        <v>1</v>
      </c>
      <c r="C19">
        <f>B19+1</f>
        <v>2</v>
      </c>
      <c r="D19">
        <f t="shared" ref="D19:F19" si="5">C19+1</f>
        <v>3</v>
      </c>
      <c r="E19">
        <f t="shared" si="5"/>
        <v>4</v>
      </c>
      <c r="F19">
        <f t="shared" si="5"/>
        <v>5</v>
      </c>
    </row>
    <row r="20" spans="1:7" x14ac:dyDescent="0.3">
      <c r="A20" t="s">
        <v>103</v>
      </c>
      <c r="B20">
        <f>1/(1+WACC!$B$22)^B19</f>
        <v>0.92916144719586014</v>
      </c>
      <c r="C20">
        <f>1/(1+WACC!$B$22)^C19</f>
        <v>0.86334099495510519</v>
      </c>
      <c r="D20">
        <f>1/(1+WACC!$B$22)^C19</f>
        <v>0.86334099495510519</v>
      </c>
      <c r="E20">
        <f>1/(1+WACC!$B$22)^E19</f>
        <v>0.74535767357007088</v>
      </c>
      <c r="F20">
        <f>1/(1+WACC!$B$22)^F19</f>
        <v>0.69255761465290666</v>
      </c>
    </row>
    <row r="21" spans="1:7" x14ac:dyDescent="0.3">
      <c r="A21" t="s">
        <v>104</v>
      </c>
      <c r="B21">
        <f>B17*B20</f>
        <v>-217.31537647499187</v>
      </c>
      <c r="C21">
        <f>C17*C20</f>
        <v>-212.86837740961286</v>
      </c>
      <c r="D21">
        <f t="shared" ref="D21:E21" si="6">D17*D20</f>
        <v>-165.7378111714136</v>
      </c>
      <c r="E21">
        <f t="shared" si="6"/>
        <v>-177.49825932669967</v>
      </c>
      <c r="F21">
        <f>F17*F20</f>
        <v>-77.839840745909171</v>
      </c>
    </row>
    <row r="23" spans="1:7" x14ac:dyDescent="0.3">
      <c r="A23" s="10" t="s">
        <v>105</v>
      </c>
      <c r="B23" s="11"/>
    </row>
    <row r="24" spans="1:7" x14ac:dyDescent="0.3">
      <c r="A24" t="s">
        <v>106</v>
      </c>
      <c r="B24">
        <f>SUM(B21:F21)</f>
        <v>-851.25966512862715</v>
      </c>
    </row>
    <row r="25" spans="1:7" x14ac:dyDescent="0.3">
      <c r="A25" t="s">
        <v>107</v>
      </c>
      <c r="B25" s="25">
        <f>3%</f>
        <v>0.03</v>
      </c>
    </row>
    <row r="26" spans="1:7" x14ac:dyDescent="0.3">
      <c r="A26" t="s">
        <v>108</v>
      </c>
      <c r="B26" s="26">
        <f>WACC!B22</f>
        <v>7.6239229487970392E-2</v>
      </c>
    </row>
    <row r="27" spans="1:7" x14ac:dyDescent="0.3">
      <c r="A27" t="s">
        <v>109</v>
      </c>
      <c r="B27" s="25">
        <f>G17*(1+B25)/(B26-B25)</f>
        <v>-2969.6881414379241</v>
      </c>
    </row>
    <row r="28" spans="1:7" x14ac:dyDescent="0.3">
      <c r="A28" t="s">
        <v>110</v>
      </c>
      <c r="B28">
        <f>B27*E20</f>
        <v>-2213.4798443307986</v>
      </c>
    </row>
    <row r="29" spans="1:7" x14ac:dyDescent="0.3">
      <c r="A29" s="2" t="s">
        <v>111</v>
      </c>
      <c r="B29">
        <f>B24+B28</f>
        <v>-3064.7395094594258</v>
      </c>
    </row>
    <row r="30" spans="1:7" x14ac:dyDescent="0.3">
      <c r="A30" t="s">
        <v>112</v>
      </c>
      <c r="B30">
        <f>'Balance Sheet'!C15+'Balance Sheet'!C17</f>
        <v>2070</v>
      </c>
    </row>
    <row r="31" spans="1:7" x14ac:dyDescent="0.3">
      <c r="A31" t="s">
        <v>113</v>
      </c>
      <c r="B31">
        <f>'Balance Sheet'!C6</f>
        <v>482.5</v>
      </c>
    </row>
    <row r="32" spans="1:7" x14ac:dyDescent="0.3">
      <c r="A32" s="2" t="s">
        <v>114</v>
      </c>
      <c r="B32">
        <f>B29-B30+B31</f>
        <v>-4652.2395094594258</v>
      </c>
    </row>
    <row r="33" spans="1:2" x14ac:dyDescent="0.3">
      <c r="A33" t="s">
        <v>115</v>
      </c>
      <c r="B33">
        <v>100</v>
      </c>
    </row>
    <row r="34" spans="1:2" x14ac:dyDescent="0.3">
      <c r="A34" s="2" t="s">
        <v>116</v>
      </c>
      <c r="B34">
        <f>B32/B33</f>
        <v>-46.522395094594259</v>
      </c>
    </row>
    <row r="36" spans="1:2" x14ac:dyDescent="0.3">
      <c r="A36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67594-3CF2-4954-AB5F-765E07669DED}">
  <dimension ref="A1:G26"/>
  <sheetViews>
    <sheetView topLeftCell="A20" workbookViewId="0">
      <selection activeCell="A26" sqref="A26:C26"/>
    </sheetView>
  </sheetViews>
  <sheetFormatPr defaultRowHeight="14.4" x14ac:dyDescent="0.3"/>
  <cols>
    <col min="1" max="1" width="54.5546875" customWidth="1"/>
    <col min="2" max="7" width="25.44140625" customWidth="1"/>
  </cols>
  <sheetData>
    <row r="1" spans="1:7" ht="18" x14ac:dyDescent="0.35">
      <c r="A1" s="1" t="s">
        <v>117</v>
      </c>
    </row>
    <row r="2" spans="1:7" x14ac:dyDescent="0.3">
      <c r="A2" s="16" t="s">
        <v>118</v>
      </c>
    </row>
    <row r="4" spans="1:7" x14ac:dyDescent="0.3">
      <c r="A4" s="2"/>
      <c r="B4" s="4" t="s">
        <v>3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94</v>
      </c>
    </row>
    <row r="6" spans="1:7" x14ac:dyDescent="0.3">
      <c r="A6" s="10" t="s">
        <v>119</v>
      </c>
      <c r="B6" s="11"/>
    </row>
    <row r="7" spans="1:7" x14ac:dyDescent="0.3">
      <c r="A7" t="s">
        <v>120</v>
      </c>
      <c r="B7">
        <v>100</v>
      </c>
      <c r="C7">
        <f>B7*(1+C8)</f>
        <v>120</v>
      </c>
      <c r="D7">
        <f t="shared" ref="D7:G7" si="0">C7*(1+D8)</f>
        <v>138</v>
      </c>
      <c r="E7">
        <f>D7*(1+E8)</f>
        <v>151.80000000000001</v>
      </c>
      <c r="F7">
        <f t="shared" si="0"/>
        <v>166.98000000000002</v>
      </c>
      <c r="G7">
        <f t="shared" si="0"/>
        <v>175.32900000000004</v>
      </c>
    </row>
    <row r="8" spans="1:7" x14ac:dyDescent="0.3">
      <c r="A8" t="s">
        <v>121</v>
      </c>
      <c r="C8" s="25">
        <v>0.2</v>
      </c>
      <c r="D8" s="25">
        <v>0.15</v>
      </c>
      <c r="E8" s="25">
        <v>0.1</v>
      </c>
      <c r="F8" s="25">
        <v>0.1</v>
      </c>
      <c r="G8" s="25">
        <v>0.05</v>
      </c>
    </row>
    <row r="9" spans="1:7" x14ac:dyDescent="0.3">
      <c r="A9" t="s">
        <v>122</v>
      </c>
      <c r="B9">
        <f>4500/$B$7</f>
        <v>45</v>
      </c>
      <c r="C9">
        <f>B9*(1+C10)</f>
        <v>45</v>
      </c>
      <c r="D9">
        <f t="shared" ref="D9:F9" si="1">C9*(1+D10)</f>
        <v>45</v>
      </c>
      <c r="E9">
        <f t="shared" si="1"/>
        <v>45</v>
      </c>
      <c r="F9">
        <f t="shared" si="1"/>
        <v>45</v>
      </c>
      <c r="G9">
        <f>F9*(1+G10)</f>
        <v>45</v>
      </c>
    </row>
    <row r="10" spans="1:7" x14ac:dyDescent="0.3">
      <c r="A10" t="s">
        <v>123</v>
      </c>
      <c r="C10" s="26">
        <v>0</v>
      </c>
      <c r="D10" s="26">
        <v>0</v>
      </c>
      <c r="E10" s="26">
        <v>0</v>
      </c>
      <c r="F10" s="26">
        <v>0</v>
      </c>
      <c r="G10" s="26">
        <v>0</v>
      </c>
    </row>
    <row r="11" spans="1:7" x14ac:dyDescent="0.3">
      <c r="A11" t="s">
        <v>124</v>
      </c>
      <c r="B11">
        <v>4500</v>
      </c>
      <c r="C11">
        <f>C7*C9</f>
        <v>5400</v>
      </c>
      <c r="D11">
        <f t="shared" ref="D11:G11" si="2">D7*D9</f>
        <v>6210</v>
      </c>
      <c r="E11">
        <f t="shared" si="2"/>
        <v>6831.0000000000009</v>
      </c>
      <c r="F11">
        <f t="shared" si="2"/>
        <v>7514.1</v>
      </c>
      <c r="G11">
        <f t="shared" si="2"/>
        <v>7889.8050000000012</v>
      </c>
    </row>
    <row r="12" spans="1:7" x14ac:dyDescent="0.3">
      <c r="A12" t="s">
        <v>125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">
      <c r="A13" s="2" t="s">
        <v>126</v>
      </c>
      <c r="B13">
        <f>B11+B12</f>
        <v>4500</v>
      </c>
      <c r="C13">
        <f t="shared" ref="C13:G13" si="3">C11+C12</f>
        <v>5400</v>
      </c>
      <c r="D13">
        <f t="shared" si="3"/>
        <v>6210</v>
      </c>
      <c r="E13">
        <f t="shared" si="3"/>
        <v>6831.0000000000009</v>
      </c>
      <c r="F13">
        <f t="shared" si="3"/>
        <v>7514.1</v>
      </c>
      <c r="G13">
        <f t="shared" si="3"/>
        <v>7889.8050000000012</v>
      </c>
    </row>
    <row r="15" spans="1:7" x14ac:dyDescent="0.3">
      <c r="A15" s="10" t="s">
        <v>127</v>
      </c>
      <c r="B15" s="11"/>
    </row>
    <row r="16" spans="1:7" x14ac:dyDescent="0.3">
      <c r="A16" t="s">
        <v>128</v>
      </c>
      <c r="B16">
        <v>8.8000000000000007</v>
      </c>
      <c r="C16">
        <v>8.5</v>
      </c>
      <c r="D16">
        <v>8.3000000000000007</v>
      </c>
      <c r="E16">
        <v>8</v>
      </c>
      <c r="F16">
        <v>7.8</v>
      </c>
      <c r="G16">
        <v>7.5</v>
      </c>
    </row>
    <row r="17" spans="1:7" x14ac:dyDescent="0.3">
      <c r="A17" t="s">
        <v>129</v>
      </c>
      <c r="B17">
        <f>25</f>
        <v>25</v>
      </c>
      <c r="C17">
        <v>25</v>
      </c>
      <c r="D17">
        <v>25</v>
      </c>
      <c r="E17">
        <v>25</v>
      </c>
      <c r="F17">
        <v>25</v>
      </c>
      <c r="G17">
        <v>25</v>
      </c>
    </row>
    <row r="18" spans="1:7" x14ac:dyDescent="0.3">
      <c r="A18" t="s">
        <v>130</v>
      </c>
      <c r="B18">
        <f>B16+B17</f>
        <v>33.799999999999997</v>
      </c>
      <c r="C18">
        <f t="shared" ref="C18:G18" si="4">C16+C17</f>
        <v>33.5</v>
      </c>
      <c r="D18">
        <f t="shared" si="4"/>
        <v>33.299999999999997</v>
      </c>
      <c r="E18">
        <f t="shared" si="4"/>
        <v>33</v>
      </c>
      <c r="F18">
        <f t="shared" si="4"/>
        <v>32.799999999999997</v>
      </c>
      <c r="G18">
        <f t="shared" si="4"/>
        <v>32.5</v>
      </c>
    </row>
    <row r="19" spans="1:7" x14ac:dyDescent="0.3">
      <c r="A19" s="2" t="s">
        <v>131</v>
      </c>
      <c r="B19">
        <f>B7*B18</f>
        <v>3379.9999999999995</v>
      </c>
      <c r="C19">
        <f t="shared" ref="C19:G19" si="5">C7*C18</f>
        <v>4020</v>
      </c>
      <c r="D19">
        <f t="shared" si="5"/>
        <v>4595.3999999999996</v>
      </c>
      <c r="E19">
        <f t="shared" si="5"/>
        <v>5009.4000000000005</v>
      </c>
      <c r="F19">
        <f t="shared" si="5"/>
        <v>5476.9440000000004</v>
      </c>
      <c r="G19">
        <f t="shared" si="5"/>
        <v>5698.192500000001</v>
      </c>
    </row>
    <row r="20" spans="1:7" x14ac:dyDescent="0.3">
      <c r="A20" t="s">
        <v>17</v>
      </c>
      <c r="B20" s="27">
        <f>(B13-B19)/B13</f>
        <v>0.24888888888888899</v>
      </c>
      <c r="C20" s="27">
        <f t="shared" ref="C20:G20" si="6">(C13-C19)/C13</f>
        <v>0.25555555555555554</v>
      </c>
      <c r="D20" s="27">
        <f t="shared" si="6"/>
        <v>0.26000000000000006</v>
      </c>
      <c r="E20" s="27">
        <f t="shared" si="6"/>
        <v>0.26666666666666666</v>
      </c>
      <c r="F20" s="27">
        <f t="shared" si="6"/>
        <v>0.27111111111111108</v>
      </c>
      <c r="G20" s="27">
        <f t="shared" si="6"/>
        <v>0.27777777777777773</v>
      </c>
    </row>
    <row r="21" spans="1:7" x14ac:dyDescent="0.3">
      <c r="A21" t="s">
        <v>132</v>
      </c>
      <c r="B21" s="25">
        <v>0.08</v>
      </c>
      <c r="C21" s="25">
        <v>0.08</v>
      </c>
      <c r="D21" s="25">
        <v>0.08</v>
      </c>
      <c r="E21" s="25">
        <v>0.08</v>
      </c>
      <c r="F21" s="25">
        <v>0.08</v>
      </c>
      <c r="G21" s="25">
        <v>0.08</v>
      </c>
    </row>
    <row r="22" spans="1:7" x14ac:dyDescent="0.3">
      <c r="A22" t="s">
        <v>133</v>
      </c>
      <c r="B22">
        <f>B13*B21</f>
        <v>360</v>
      </c>
      <c r="C22">
        <f t="shared" ref="C22:G22" si="7">C13*C21</f>
        <v>432</v>
      </c>
      <c r="D22">
        <f t="shared" si="7"/>
        <v>496.8</v>
      </c>
      <c r="E22">
        <f t="shared" si="7"/>
        <v>546.48000000000013</v>
      </c>
      <c r="F22">
        <f t="shared" si="7"/>
        <v>601.12800000000004</v>
      </c>
      <c r="G22">
        <f t="shared" si="7"/>
        <v>631.1844000000001</v>
      </c>
    </row>
    <row r="23" spans="1:7" x14ac:dyDescent="0.3">
      <c r="A23" t="s">
        <v>134</v>
      </c>
      <c r="B23" s="25">
        <v>0.1</v>
      </c>
      <c r="C23" s="25">
        <v>0.1</v>
      </c>
      <c r="D23" s="25">
        <v>0.1</v>
      </c>
      <c r="E23" s="25">
        <v>0.1</v>
      </c>
      <c r="F23" s="25">
        <v>0.1</v>
      </c>
      <c r="G23" s="25">
        <v>0.1</v>
      </c>
    </row>
    <row r="24" spans="1:7" x14ac:dyDescent="0.3">
      <c r="A24" t="s">
        <v>135</v>
      </c>
      <c r="B24">
        <f>B13*B23</f>
        <v>450</v>
      </c>
      <c r="C24">
        <f t="shared" ref="C24:G24" si="8">C13*C23</f>
        <v>540</v>
      </c>
      <c r="D24">
        <f t="shared" si="8"/>
        <v>621</v>
      </c>
      <c r="E24">
        <f t="shared" si="8"/>
        <v>683.10000000000014</v>
      </c>
      <c r="F24">
        <f t="shared" si="8"/>
        <v>751.41000000000008</v>
      </c>
      <c r="G24">
        <f t="shared" si="8"/>
        <v>788.98050000000012</v>
      </c>
    </row>
    <row r="26" spans="1:7" x14ac:dyDescent="0.3">
      <c r="A26" s="15"/>
    </row>
  </sheetData>
  <phoneticPr fontId="1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A697-1E13-4455-98E3-80B97835E738}">
  <dimension ref="A1:G29"/>
  <sheetViews>
    <sheetView topLeftCell="A16" workbookViewId="0">
      <selection activeCell="A29" sqref="A29:E29"/>
    </sheetView>
  </sheetViews>
  <sheetFormatPr defaultRowHeight="14.4" x14ac:dyDescent="0.3"/>
  <cols>
    <col min="1" max="1" width="61.77734375" customWidth="1"/>
    <col min="2" max="7" width="25.44140625" customWidth="1"/>
  </cols>
  <sheetData>
    <row r="1" spans="1:7" ht="18" x14ac:dyDescent="0.35">
      <c r="A1" s="1" t="s">
        <v>136</v>
      </c>
    </row>
    <row r="2" spans="1:7" x14ac:dyDescent="0.3">
      <c r="A2" s="16" t="s">
        <v>137</v>
      </c>
    </row>
    <row r="4" spans="1:7" x14ac:dyDescent="0.3">
      <c r="A4" s="2"/>
      <c r="B4" s="4" t="s">
        <v>3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94</v>
      </c>
    </row>
    <row r="6" spans="1:7" x14ac:dyDescent="0.3">
      <c r="A6" s="10" t="s">
        <v>138</v>
      </c>
    </row>
    <row r="7" spans="1:7" x14ac:dyDescent="0.3">
      <c r="A7" t="s">
        <v>139</v>
      </c>
      <c r="B7" s="11">
        <f>'Revenue &amp; Cost Drivers'!B7</f>
        <v>100</v>
      </c>
      <c r="C7">
        <f>'Revenue &amp; Cost Drivers'!C7</f>
        <v>120</v>
      </c>
      <c r="D7">
        <f>'Revenue &amp; Cost Drivers'!D7</f>
        <v>138</v>
      </c>
      <c r="E7">
        <f>'Revenue &amp; Cost Drivers'!E7</f>
        <v>151.80000000000001</v>
      </c>
      <c r="F7">
        <f>'Revenue &amp; Cost Drivers'!F7</f>
        <v>166.98000000000002</v>
      </c>
      <c r="G7">
        <f>'Revenue &amp; Cost Drivers'!G7</f>
        <v>175.32900000000004</v>
      </c>
    </row>
    <row r="8" spans="1:7" x14ac:dyDescent="0.3">
      <c r="A8" t="s">
        <v>140</v>
      </c>
      <c r="B8">
        <f t="shared" ref="B8:G8" si="0">B7/B9</f>
        <v>111.11111111111111</v>
      </c>
      <c r="C8">
        <f t="shared" si="0"/>
        <v>133.33333333333334</v>
      </c>
      <c r="D8">
        <f t="shared" si="0"/>
        <v>153.33333333333334</v>
      </c>
      <c r="E8">
        <f t="shared" si="0"/>
        <v>168.66666666666669</v>
      </c>
      <c r="F8">
        <f t="shared" si="0"/>
        <v>185.53333333333336</v>
      </c>
      <c r="G8">
        <f t="shared" si="0"/>
        <v>194.81000000000003</v>
      </c>
    </row>
    <row r="9" spans="1:7" x14ac:dyDescent="0.3">
      <c r="A9" t="s">
        <v>141</v>
      </c>
      <c r="B9">
        <f>90%</f>
        <v>0.9</v>
      </c>
      <c r="C9">
        <f>90%</f>
        <v>0.9</v>
      </c>
      <c r="D9">
        <f>90%</f>
        <v>0.9</v>
      </c>
      <c r="E9">
        <f>90%</f>
        <v>0.9</v>
      </c>
      <c r="F9">
        <f>90%</f>
        <v>0.9</v>
      </c>
      <c r="G9">
        <f>90%</f>
        <v>0.9</v>
      </c>
    </row>
    <row r="11" spans="1:7" x14ac:dyDescent="0.3">
      <c r="A11" s="10" t="s">
        <v>142</v>
      </c>
    </row>
    <row r="12" spans="1:7" x14ac:dyDescent="0.3">
      <c r="A12" t="s">
        <v>143</v>
      </c>
      <c r="B12" s="11">
        <f>100</f>
        <v>100</v>
      </c>
      <c r="C12">
        <f>B8</f>
        <v>111.11111111111111</v>
      </c>
      <c r="D12">
        <f>C8</f>
        <v>133.33333333333334</v>
      </c>
      <c r="E12">
        <f>D8</f>
        <v>153.33333333333334</v>
      </c>
      <c r="F12">
        <f>E8</f>
        <v>168.66666666666669</v>
      </c>
      <c r="G12">
        <f>F8</f>
        <v>185.53333333333336</v>
      </c>
    </row>
    <row r="13" spans="1:7" x14ac:dyDescent="0.3">
      <c r="A13" t="s">
        <v>144</v>
      </c>
      <c r="B13">
        <f>MAX(0,B8-B12)</f>
        <v>11.111111111111114</v>
      </c>
      <c r="C13">
        <f t="shared" ref="C13:G13" si="1">MAX(0,C8-C12)</f>
        <v>22.222222222222229</v>
      </c>
      <c r="D13">
        <f t="shared" si="1"/>
        <v>20</v>
      </c>
      <c r="E13">
        <f t="shared" si="1"/>
        <v>15.333333333333343</v>
      </c>
      <c r="F13">
        <f t="shared" si="1"/>
        <v>16.866666666666674</v>
      </c>
      <c r="G13">
        <f t="shared" si="1"/>
        <v>9.2766666666666708</v>
      </c>
    </row>
    <row r="14" spans="1:7" x14ac:dyDescent="0.3">
      <c r="A14" t="s">
        <v>145</v>
      </c>
      <c r="B14">
        <f t="shared" ref="B14:G14" si="2">B13</f>
        <v>11.111111111111114</v>
      </c>
      <c r="C14">
        <f t="shared" si="2"/>
        <v>22.222222222222229</v>
      </c>
      <c r="D14">
        <f t="shared" si="2"/>
        <v>20</v>
      </c>
      <c r="E14">
        <f t="shared" si="2"/>
        <v>15.333333333333343</v>
      </c>
      <c r="F14">
        <f t="shared" si="2"/>
        <v>16.866666666666674</v>
      </c>
      <c r="G14">
        <f t="shared" si="2"/>
        <v>9.2766666666666708</v>
      </c>
    </row>
    <row r="15" spans="1:7" x14ac:dyDescent="0.3">
      <c r="A15" s="2" t="s">
        <v>146</v>
      </c>
      <c r="B15">
        <f>B12+B13</f>
        <v>111.11111111111111</v>
      </c>
      <c r="C15">
        <f t="shared" ref="C15:G15" si="3">C12+C13</f>
        <v>133.33333333333334</v>
      </c>
      <c r="D15">
        <f t="shared" si="3"/>
        <v>153.33333333333334</v>
      </c>
      <c r="E15">
        <f t="shared" si="3"/>
        <v>168.66666666666669</v>
      </c>
      <c r="F15">
        <f t="shared" si="3"/>
        <v>185.53333333333336</v>
      </c>
      <c r="G15">
        <f t="shared" si="3"/>
        <v>194.81000000000003</v>
      </c>
    </row>
    <row r="17" spans="1:7" x14ac:dyDescent="0.3">
      <c r="A17" s="10" t="s">
        <v>147</v>
      </c>
    </row>
    <row r="18" spans="1:7" x14ac:dyDescent="0.3">
      <c r="A18" t="s">
        <v>148</v>
      </c>
      <c r="B18" s="11">
        <f>15</f>
        <v>15</v>
      </c>
      <c r="C18" s="11">
        <f>15</f>
        <v>15</v>
      </c>
      <c r="D18" s="11">
        <f>15</f>
        <v>15</v>
      </c>
      <c r="E18" s="11">
        <f>15</f>
        <v>15</v>
      </c>
      <c r="F18" s="11">
        <f>15</f>
        <v>15</v>
      </c>
      <c r="G18" s="11">
        <f>15</f>
        <v>15</v>
      </c>
    </row>
    <row r="19" spans="1:7" x14ac:dyDescent="0.3">
      <c r="A19" t="s">
        <v>149</v>
      </c>
      <c r="B19">
        <f>360</f>
        <v>360</v>
      </c>
      <c r="C19">
        <f>C14*C18</f>
        <v>333.33333333333343</v>
      </c>
      <c r="D19">
        <f t="shared" ref="D19:G19" si="4">D14*D18</f>
        <v>300</v>
      </c>
      <c r="E19">
        <f t="shared" si="4"/>
        <v>230.00000000000014</v>
      </c>
      <c r="F19">
        <f t="shared" si="4"/>
        <v>253.00000000000011</v>
      </c>
      <c r="G19">
        <f t="shared" si="4"/>
        <v>139.15000000000006</v>
      </c>
    </row>
    <row r="20" spans="1:7" x14ac:dyDescent="0.3">
      <c r="A20" t="s">
        <v>150</v>
      </c>
      <c r="B20">
        <f>200</f>
        <v>200</v>
      </c>
      <c r="C20">
        <f>B27*0.05</f>
        <v>149.25</v>
      </c>
      <c r="D20">
        <f>C27*0.05</f>
        <v>161.43916666666667</v>
      </c>
      <c r="E20">
        <f>D27*0.05</f>
        <v>171.59599166666669</v>
      </c>
      <c r="F20">
        <f>E27*0.05</f>
        <v>177.94811191666668</v>
      </c>
      <c r="G20">
        <f>F27*0.05</f>
        <v>185.2596685591667</v>
      </c>
    </row>
    <row r="21" spans="1:7" x14ac:dyDescent="0.3">
      <c r="A21" s="2" t="s">
        <v>151</v>
      </c>
      <c r="B21">
        <f t="shared" ref="B21:G21" si="5">B19+B20</f>
        <v>560</v>
      </c>
      <c r="C21">
        <f t="shared" si="5"/>
        <v>482.58333333333343</v>
      </c>
      <c r="D21">
        <f t="shared" si="5"/>
        <v>461.43916666666667</v>
      </c>
      <c r="E21">
        <f t="shared" si="5"/>
        <v>401.59599166666681</v>
      </c>
      <c r="F21">
        <f t="shared" si="5"/>
        <v>430.94811191666679</v>
      </c>
      <c r="G21">
        <f t="shared" si="5"/>
        <v>324.40966855916679</v>
      </c>
    </row>
    <row r="23" spans="1:7" x14ac:dyDescent="0.3">
      <c r="A23" s="10" t="s">
        <v>152</v>
      </c>
    </row>
    <row r="24" spans="1:7" x14ac:dyDescent="0.3">
      <c r="A24" t="s">
        <v>153</v>
      </c>
      <c r="B24" s="11">
        <f>'Balance Sheet'!B10</f>
        <v>2625</v>
      </c>
      <c r="C24">
        <f>B27</f>
        <v>2985</v>
      </c>
      <c r="D24">
        <f>C27</f>
        <v>3228.7833333333333</v>
      </c>
      <c r="E24">
        <f>D27</f>
        <v>3431.9198333333334</v>
      </c>
      <c r="F24">
        <f>E27</f>
        <v>3558.9622383333335</v>
      </c>
      <c r="G24">
        <f>F27</f>
        <v>3705.1933711833335</v>
      </c>
    </row>
    <row r="25" spans="1:7" x14ac:dyDescent="0.3">
      <c r="A25" t="s">
        <v>154</v>
      </c>
      <c r="B25">
        <f>'Cash Flow Statement'!C14</f>
        <v>-560</v>
      </c>
      <c r="C25">
        <f>C21</f>
        <v>482.58333333333343</v>
      </c>
      <c r="D25">
        <f>D21</f>
        <v>461.43916666666667</v>
      </c>
      <c r="E25">
        <f>E21</f>
        <v>401.59599166666681</v>
      </c>
      <c r="F25">
        <f>F21</f>
        <v>430.94811191666679</v>
      </c>
      <c r="G25">
        <f>G21</f>
        <v>324.40966855916679</v>
      </c>
    </row>
    <row r="26" spans="1:7" x14ac:dyDescent="0.3">
      <c r="A26" t="s">
        <v>155</v>
      </c>
      <c r="B26">
        <f>'Income Statement'!C13</f>
        <v>200</v>
      </c>
      <c r="C26">
        <f>C24*0.08</f>
        <v>238.8</v>
      </c>
      <c r="D26">
        <f>D24*0.08</f>
        <v>258.30266666666665</v>
      </c>
      <c r="E26">
        <f>E24*0.08</f>
        <v>274.55358666666666</v>
      </c>
      <c r="F26">
        <f>F24*0.08</f>
        <v>284.71697906666668</v>
      </c>
      <c r="G26">
        <f>G24*0.08</f>
        <v>296.41546969466668</v>
      </c>
    </row>
    <row r="27" spans="1:7" x14ac:dyDescent="0.3">
      <c r="A27" s="2" t="s">
        <v>156</v>
      </c>
      <c r="B27">
        <f>B24+(-B25)-B26</f>
        <v>2985</v>
      </c>
      <c r="C27">
        <f>C24+C25-C26</f>
        <v>3228.7833333333333</v>
      </c>
      <c r="D27">
        <f>D24+D25+-D26</f>
        <v>3431.9198333333334</v>
      </c>
      <c r="E27">
        <f>E24+E25-E26</f>
        <v>3558.9622383333335</v>
      </c>
      <c r="F27">
        <f>F24+F25-F26</f>
        <v>3705.1933711833335</v>
      </c>
      <c r="G27">
        <f>G24+G25-G26</f>
        <v>3733.1875700478336</v>
      </c>
    </row>
    <row r="29" spans="1:7" x14ac:dyDescent="0.3">
      <c r="A29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9959C-2BDF-4BA6-B247-330DBDC169B1}">
  <dimension ref="A1:G27"/>
  <sheetViews>
    <sheetView topLeftCell="A5" workbookViewId="0">
      <selection activeCell="A27" sqref="A27:E27"/>
    </sheetView>
  </sheetViews>
  <sheetFormatPr defaultRowHeight="14.4" x14ac:dyDescent="0.3"/>
  <cols>
    <col min="1" max="1" width="58.21875" customWidth="1"/>
    <col min="2" max="7" width="25.44140625" customWidth="1"/>
  </cols>
  <sheetData>
    <row r="1" spans="1:7" ht="18" x14ac:dyDescent="0.35">
      <c r="A1" s="1" t="s">
        <v>157</v>
      </c>
    </row>
    <row r="2" spans="1:7" x14ac:dyDescent="0.3">
      <c r="A2" s="16" t="s">
        <v>158</v>
      </c>
    </row>
    <row r="4" spans="1:7" x14ac:dyDescent="0.3">
      <c r="A4" s="2"/>
      <c r="B4" s="4" t="s">
        <v>3</v>
      </c>
      <c r="C4" s="4" t="s">
        <v>90</v>
      </c>
      <c r="D4" s="4" t="s">
        <v>91</v>
      </c>
      <c r="E4" s="4" t="s">
        <v>92</v>
      </c>
      <c r="F4" s="4" t="s">
        <v>93</v>
      </c>
      <c r="G4" s="4" t="s">
        <v>94</v>
      </c>
    </row>
    <row r="6" spans="1:7" x14ac:dyDescent="0.3">
      <c r="A6" s="10" t="s">
        <v>159</v>
      </c>
      <c r="B6" s="11"/>
    </row>
    <row r="7" spans="1:7" x14ac:dyDescent="0.3">
      <c r="A7" t="s">
        <v>160</v>
      </c>
      <c r="B7">
        <f>'Balance Sheet'!B15</f>
        <v>190</v>
      </c>
      <c r="C7">
        <f>B10</f>
        <v>190</v>
      </c>
      <c r="D7">
        <f t="shared" ref="D7:G7" si="0">C10</f>
        <v>190</v>
      </c>
      <c r="E7">
        <f t="shared" si="0"/>
        <v>190</v>
      </c>
      <c r="F7">
        <f t="shared" si="0"/>
        <v>190</v>
      </c>
      <c r="G7">
        <f t="shared" si="0"/>
        <v>190</v>
      </c>
    </row>
    <row r="8" spans="1:7" x14ac:dyDescent="0.3">
      <c r="A8" t="s">
        <v>161</v>
      </c>
      <c r="B8">
        <f>0</f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">
      <c r="A9" t="s">
        <v>162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">
      <c r="A10" s="2" t="s">
        <v>163</v>
      </c>
      <c r="B10">
        <f>B7+B8-B9</f>
        <v>190</v>
      </c>
      <c r="C10">
        <f>C7+C8-C9</f>
        <v>190</v>
      </c>
      <c r="D10">
        <f t="shared" ref="D10:G10" si="1">D7+D8-D9</f>
        <v>190</v>
      </c>
      <c r="E10">
        <f t="shared" si="1"/>
        <v>190</v>
      </c>
      <c r="F10">
        <f t="shared" si="1"/>
        <v>190</v>
      </c>
      <c r="G10">
        <f t="shared" si="1"/>
        <v>190</v>
      </c>
    </row>
    <row r="11" spans="1:7" x14ac:dyDescent="0.3">
      <c r="A11" t="s">
        <v>164</v>
      </c>
      <c r="B11" s="25">
        <v>0.05</v>
      </c>
      <c r="C11" s="25">
        <v>0.05</v>
      </c>
      <c r="D11" s="25">
        <v>0.05</v>
      </c>
      <c r="E11" s="25">
        <v>0.05</v>
      </c>
      <c r="F11" s="25">
        <v>0.05</v>
      </c>
      <c r="G11" s="25">
        <v>0.05</v>
      </c>
    </row>
    <row r="12" spans="1:7" x14ac:dyDescent="0.3">
      <c r="A12" t="s">
        <v>13</v>
      </c>
      <c r="B12">
        <f>B7*B11</f>
        <v>9.5</v>
      </c>
      <c r="C12">
        <f t="shared" ref="C12:G12" si="2">C7*C11</f>
        <v>9.5</v>
      </c>
      <c r="D12">
        <f t="shared" si="2"/>
        <v>9.5</v>
      </c>
      <c r="E12">
        <f t="shared" si="2"/>
        <v>9.5</v>
      </c>
      <c r="F12">
        <f t="shared" si="2"/>
        <v>9.5</v>
      </c>
      <c r="G12">
        <f t="shared" si="2"/>
        <v>9.5</v>
      </c>
    </row>
    <row r="14" spans="1:7" x14ac:dyDescent="0.3">
      <c r="A14" s="10" t="s">
        <v>165</v>
      </c>
      <c r="B14" s="11"/>
    </row>
    <row r="15" spans="1:7" x14ac:dyDescent="0.3">
      <c r="A15" t="s">
        <v>160</v>
      </c>
      <c r="B15">
        <f>'Balance Sheet'!B17</f>
        <v>1700</v>
      </c>
      <c r="C15">
        <f>B18</f>
        <v>1880</v>
      </c>
      <c r="D15">
        <f t="shared" ref="D15:G15" si="3">C18</f>
        <v>1786</v>
      </c>
      <c r="E15">
        <f t="shared" si="3"/>
        <v>1696.7</v>
      </c>
      <c r="F15">
        <f t="shared" si="3"/>
        <v>1611.865</v>
      </c>
      <c r="G15">
        <f t="shared" si="3"/>
        <v>1531.2717499999999</v>
      </c>
    </row>
    <row r="16" spans="1:7" x14ac:dyDescent="0.3">
      <c r="A16" t="s">
        <v>166</v>
      </c>
      <c r="B16">
        <f>'Balance Sheet'!C17-'Balance Sheet'!B17</f>
        <v>180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3">
      <c r="A17" t="s">
        <v>167</v>
      </c>
      <c r="B17">
        <v>0</v>
      </c>
      <c r="C17">
        <f>C15*0.05</f>
        <v>94</v>
      </c>
      <c r="D17">
        <f t="shared" ref="D17:G17" si="4">D15*0.05</f>
        <v>89.300000000000011</v>
      </c>
      <c r="E17">
        <f t="shared" si="4"/>
        <v>84.835000000000008</v>
      </c>
      <c r="F17">
        <f t="shared" si="4"/>
        <v>80.593250000000012</v>
      </c>
      <c r="G17">
        <f t="shared" si="4"/>
        <v>76.563587499999997</v>
      </c>
    </row>
    <row r="18" spans="1:7" x14ac:dyDescent="0.3">
      <c r="A18" s="2" t="s">
        <v>163</v>
      </c>
      <c r="B18">
        <f>B15+B16-B17</f>
        <v>1880</v>
      </c>
      <c r="C18">
        <f>C15+C16-C17</f>
        <v>1786</v>
      </c>
      <c r="D18">
        <f t="shared" ref="D18:G18" si="5">D15+D16-D17</f>
        <v>1696.7</v>
      </c>
      <c r="E18">
        <f t="shared" si="5"/>
        <v>1611.865</v>
      </c>
      <c r="F18">
        <f t="shared" si="5"/>
        <v>1531.2717499999999</v>
      </c>
      <c r="G18">
        <f t="shared" si="5"/>
        <v>1454.7081624999998</v>
      </c>
    </row>
    <row r="19" spans="1:7" x14ac:dyDescent="0.3">
      <c r="A19" t="s">
        <v>164</v>
      </c>
      <c r="B19" s="27">
        <f>('Income Statement'!C15-9.5)/B15</f>
        <v>4.4411764705882352E-2</v>
      </c>
      <c r="C19">
        <f>4.5%</f>
        <v>4.4999999999999998E-2</v>
      </c>
      <c r="D19">
        <f t="shared" ref="D19:G19" si="6">4.5%</f>
        <v>4.4999999999999998E-2</v>
      </c>
      <c r="E19">
        <f t="shared" si="6"/>
        <v>4.4999999999999998E-2</v>
      </c>
      <c r="F19">
        <f t="shared" si="6"/>
        <v>4.4999999999999998E-2</v>
      </c>
      <c r="G19">
        <f t="shared" si="6"/>
        <v>4.4999999999999998E-2</v>
      </c>
    </row>
    <row r="20" spans="1:7" x14ac:dyDescent="0.3">
      <c r="A20" t="s">
        <v>13</v>
      </c>
      <c r="B20">
        <f>B15*B19</f>
        <v>75.5</v>
      </c>
      <c r="C20">
        <f>C15*C19</f>
        <v>84.6</v>
      </c>
      <c r="D20">
        <f t="shared" ref="D20:G20" si="7">D15*D19</f>
        <v>80.36999999999999</v>
      </c>
      <c r="E20">
        <f t="shared" si="7"/>
        <v>76.351500000000001</v>
      </c>
      <c r="F20">
        <f t="shared" si="7"/>
        <v>72.533924999999996</v>
      </c>
      <c r="G20">
        <f t="shared" si="7"/>
        <v>68.907228749999987</v>
      </c>
    </row>
    <row r="22" spans="1:7" x14ac:dyDescent="0.3">
      <c r="A22" s="10" t="s">
        <v>168</v>
      </c>
      <c r="B22" s="11"/>
    </row>
    <row r="23" spans="1:7" x14ac:dyDescent="0.3">
      <c r="A23" s="2" t="s">
        <v>169</v>
      </c>
      <c r="B23">
        <f>B10+B18</f>
        <v>2070</v>
      </c>
      <c r="C23">
        <f t="shared" ref="C23:G23" si="8">C10+C18</f>
        <v>1976</v>
      </c>
      <c r="D23">
        <f t="shared" si="8"/>
        <v>1886.7</v>
      </c>
      <c r="E23">
        <f t="shared" si="8"/>
        <v>1801.865</v>
      </c>
      <c r="F23">
        <f t="shared" si="8"/>
        <v>1721.2717499999999</v>
      </c>
      <c r="G23">
        <f t="shared" si="8"/>
        <v>1644.7081624999998</v>
      </c>
    </row>
    <row r="24" spans="1:7" x14ac:dyDescent="0.3">
      <c r="A24" s="2" t="s">
        <v>170</v>
      </c>
      <c r="B24">
        <f>B12+B20</f>
        <v>85</v>
      </c>
      <c r="C24">
        <f t="shared" ref="C24:G24" si="9">C12+C20</f>
        <v>94.1</v>
      </c>
      <c r="D24">
        <f t="shared" si="9"/>
        <v>89.86999999999999</v>
      </c>
      <c r="E24">
        <f t="shared" si="9"/>
        <v>85.851500000000001</v>
      </c>
      <c r="F24">
        <f t="shared" si="9"/>
        <v>82.033924999999996</v>
      </c>
      <c r="G24">
        <f t="shared" si="9"/>
        <v>78.407228749999987</v>
      </c>
    </row>
    <row r="25" spans="1:7" x14ac:dyDescent="0.3">
      <c r="A25" t="s">
        <v>171</v>
      </c>
    </row>
    <row r="27" spans="1:7" x14ac:dyDescent="0.3">
      <c r="A27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Income Statement</vt:lpstr>
      <vt:lpstr>Balance Sheet</vt:lpstr>
      <vt:lpstr>Cash Flow Statement</vt:lpstr>
      <vt:lpstr>WACC</vt:lpstr>
      <vt:lpstr>DCF Valuation</vt:lpstr>
      <vt:lpstr>Revenue &amp; Cost Drivers</vt:lpstr>
      <vt:lpstr>Capacity Expansion</vt:lpstr>
      <vt:lpstr>Debt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Pulin Aggarwal</dc:creator>
  <cp:lastModifiedBy>Aruneshwar Thakur</cp:lastModifiedBy>
  <dcterms:created xsi:type="dcterms:W3CDTF">2026-09-13T15:24:57Z</dcterms:created>
  <dcterms:modified xsi:type="dcterms:W3CDTF">2026-09-26T17:14:20Z</dcterms:modified>
</cp:coreProperties>
</file>